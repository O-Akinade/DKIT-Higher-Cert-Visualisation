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0.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bosun\Desktop\HDip Data-Analysis\Semester 2\Visualisation\"/>
    </mc:Choice>
  </mc:AlternateContent>
  <xr:revisionPtr revIDLastSave="0" documentId="13_ncr:1_{B166F4E1-6D80-4EBF-8EFC-FF7F770E3BE5}" xr6:coauthVersionLast="47" xr6:coauthVersionMax="47" xr10:uidLastSave="{00000000-0000-0000-0000-000000000000}"/>
  <bookViews>
    <workbookView xWindow="20370" yWindow="-4680" windowWidth="29040" windowHeight="16440" activeTab="4" xr2:uid="{A486421A-5149-4249-9A0C-8CE205FD0106}"/>
  </bookViews>
  <sheets>
    <sheet name="Data" sheetId="1" r:id="rId1"/>
    <sheet name="Dashboard-SugarTax" sheetId="3" r:id="rId2"/>
    <sheet name="Dashboard-SAT" sheetId="4" r:id="rId3"/>
    <sheet name="Menu" sheetId="5" r:id="rId4"/>
    <sheet name="Graphs" sheetId="6" r:id="rId5"/>
    <sheet name="Table" sheetId="9" r:id="rId6"/>
  </sheets>
  <definedNames>
    <definedName name="_xlnm._FilterDatabase" localSheetId="0" hidden="1">Data!$A$1:$R$1</definedName>
    <definedName name="NativeTimeline_Order_Date">#N/A</definedName>
    <definedName name="Slicer_Employee">#N/A</definedName>
  </definedNames>
  <calcPr calcId="191029"/>
  <pivotCaches>
    <pivotCache cacheId="234"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 i="1" l="1"/>
  <c r="K2"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alcChain>
</file>

<file path=xl/sharedStrings.xml><?xml version="1.0" encoding="utf-8"?>
<sst xmlns="http://schemas.openxmlformats.org/spreadsheetml/2006/main" count="553" uniqueCount="148">
  <si>
    <t>Order ID</t>
  </si>
  <si>
    <t>Order Date</t>
  </si>
  <si>
    <t>Employee</t>
  </si>
  <si>
    <t>Customer Name</t>
  </si>
  <si>
    <t>Category</t>
  </si>
  <si>
    <t>Product Name</t>
  </si>
  <si>
    <t>Sales</t>
  </si>
  <si>
    <t>Payment Type</t>
  </si>
  <si>
    <t>CSAT</t>
  </si>
  <si>
    <t>Last Name</t>
  </si>
  <si>
    <t>First Name</t>
  </si>
  <si>
    <t>Address</t>
  </si>
  <si>
    <t>City</t>
  </si>
  <si>
    <t>State/Province</t>
  </si>
  <si>
    <t>Map Sales</t>
  </si>
  <si>
    <t>Quarter</t>
  </si>
  <si>
    <t>Anne Hellung-Larsen</t>
  </si>
  <si>
    <t>Company AA</t>
  </si>
  <si>
    <t>Beverages</t>
  </si>
  <si>
    <t>Beer</t>
  </si>
  <si>
    <t>Check</t>
  </si>
  <si>
    <t>Toh</t>
  </si>
  <si>
    <t>Karen</t>
  </si>
  <si>
    <t>789 27th Street</t>
  </si>
  <si>
    <t>Las Vegas</t>
  </si>
  <si>
    <t>NV</t>
  </si>
  <si>
    <t>Dried Fruit &amp; Nuts</t>
  </si>
  <si>
    <t>Dried Plums</t>
  </si>
  <si>
    <t>Jan Kotas</t>
  </si>
  <si>
    <t>Company D</t>
  </si>
  <si>
    <t>Dried Apples</t>
  </si>
  <si>
    <t>Credit Card</t>
  </si>
  <si>
    <t>Lee</t>
  </si>
  <si>
    <t>Christina</t>
  </si>
  <si>
    <t>123 4th Street</t>
  </si>
  <si>
    <t>New York</t>
  </si>
  <si>
    <t>NY</t>
  </si>
  <si>
    <t>Dried Pears</t>
  </si>
  <si>
    <t>Mariya Sergienko</t>
  </si>
  <si>
    <t>Company L</t>
  </si>
  <si>
    <t>Chai</t>
  </si>
  <si>
    <t>Edwards</t>
  </si>
  <si>
    <t>John</t>
  </si>
  <si>
    <t>123 12th Street</t>
  </si>
  <si>
    <t>Coffee</t>
  </si>
  <si>
    <t>Michael Neipper</t>
  </si>
  <si>
    <t>Company H</t>
  </si>
  <si>
    <t>Baked Goods &amp; Mixes</t>
  </si>
  <si>
    <t>Chocolate Biscuits Mix</t>
  </si>
  <si>
    <t>Andersen</t>
  </si>
  <si>
    <t>Elizabeth</t>
  </si>
  <si>
    <t>123 8th Street</t>
  </si>
  <si>
    <t>Portland</t>
  </si>
  <si>
    <t>OR</t>
  </si>
  <si>
    <t>Company CC</t>
  </si>
  <si>
    <t>Candy</t>
  </si>
  <si>
    <t>Chocolate</t>
  </si>
  <si>
    <t>Soo Jung</t>
  </si>
  <si>
    <t>789 29th Street</t>
  </si>
  <si>
    <t>Denver</t>
  </si>
  <si>
    <t>CO</t>
  </si>
  <si>
    <t>Company C</t>
  </si>
  <si>
    <t>Soups</t>
  </si>
  <si>
    <t>Clam Chowder</t>
  </si>
  <si>
    <t>Cash</t>
  </si>
  <si>
    <t>Axen</t>
  </si>
  <si>
    <t>Thomas</t>
  </si>
  <si>
    <t>123 3rd Street</t>
  </si>
  <si>
    <t>Los Angelas</t>
  </si>
  <si>
    <t>CA</t>
  </si>
  <si>
    <t>Laura Giussani</t>
  </si>
  <si>
    <t>Company F</t>
  </si>
  <si>
    <t>Sauces</t>
  </si>
  <si>
    <t>Curry Sauce</t>
  </si>
  <si>
    <t>Pérez-Olaeta</t>
  </si>
  <si>
    <t>Francisco</t>
  </si>
  <si>
    <t>123 6th Street</t>
  </si>
  <si>
    <t>Milwaukee</t>
  </si>
  <si>
    <t>WI</t>
  </si>
  <si>
    <t>Company BB</t>
  </si>
  <si>
    <t>Raghav</t>
  </si>
  <si>
    <t>Amritansh</t>
  </si>
  <si>
    <t>789 28th Street</t>
  </si>
  <si>
    <t>Memphis</t>
  </si>
  <si>
    <t>TN</t>
  </si>
  <si>
    <t>Nancy Freehafer</t>
  </si>
  <si>
    <t>Company J</t>
  </si>
  <si>
    <t>Wacker</t>
  </si>
  <si>
    <t>Roland</t>
  </si>
  <si>
    <t>123 10th Street</t>
  </si>
  <si>
    <t>Chicago</t>
  </si>
  <si>
    <t>IL</t>
  </si>
  <si>
    <t>Green Tea</t>
  </si>
  <si>
    <t>Condiments</t>
  </si>
  <si>
    <t>Cajun Seasoning</t>
  </si>
  <si>
    <t>Jams, Preserves</t>
  </si>
  <si>
    <t>Boysenberry Spread</t>
  </si>
  <si>
    <t>Andrew Cencini</t>
  </si>
  <si>
    <t>Robert Zare</t>
  </si>
  <si>
    <t>Company I</t>
  </si>
  <si>
    <t>Dairy Products</t>
  </si>
  <si>
    <t>Mozzarella</t>
  </si>
  <si>
    <t>Mortensen</t>
  </si>
  <si>
    <t>Sven</t>
  </si>
  <si>
    <t>123 9th Street</t>
  </si>
  <si>
    <t>Salt Lake City</t>
  </si>
  <si>
    <t>UT</t>
  </si>
  <si>
    <t>Pasta</t>
  </si>
  <si>
    <t>Ravioli</t>
  </si>
  <si>
    <t>Company Y</t>
  </si>
  <si>
    <t>Scones</t>
  </si>
  <si>
    <t>Rodman</t>
  </si>
  <si>
    <t>789 25th Street</t>
  </si>
  <si>
    <t>Company Z</t>
  </si>
  <si>
    <t>Canned Meat</t>
  </si>
  <si>
    <t>Crab Meat</t>
  </si>
  <si>
    <t>Liu</t>
  </si>
  <si>
    <t>Run</t>
  </si>
  <si>
    <t>789 26th Street</t>
  </si>
  <si>
    <t>Miami</t>
  </si>
  <si>
    <t>FL</t>
  </si>
  <si>
    <t>Oil</t>
  </si>
  <si>
    <t>Olive Oil</t>
  </si>
  <si>
    <t>Grains</t>
  </si>
  <si>
    <t>Long Grain Rice</t>
  </si>
  <si>
    <t>Marmalade</t>
  </si>
  <si>
    <t>Syrup</t>
  </si>
  <si>
    <t>Company A</t>
  </si>
  <si>
    <t>Bedecs</t>
  </si>
  <si>
    <t>Anna</t>
  </si>
  <si>
    <t>123 1st Street</t>
  </si>
  <si>
    <t>Seattle</t>
  </si>
  <si>
    <t>WA</t>
  </si>
  <si>
    <t>Almonds</t>
  </si>
  <si>
    <t>Company K</t>
  </si>
  <si>
    <t>Krschne</t>
  </si>
  <si>
    <t>Peter</t>
  </si>
  <si>
    <t>123 11th Street</t>
  </si>
  <si>
    <t>Canned Fruit &amp; Vegetables</t>
  </si>
  <si>
    <t>Fruit Cocktail</t>
  </si>
  <si>
    <t>NetSugarTax</t>
  </si>
  <si>
    <t>Row Labels</t>
  </si>
  <si>
    <t>Grand Total</t>
  </si>
  <si>
    <t>Sum of NetSugarTax</t>
  </si>
  <si>
    <t>SugarTax%</t>
  </si>
  <si>
    <t>SalesCSAT</t>
  </si>
  <si>
    <t>Sum of SalesCSAT</t>
  </si>
  <si>
    <t>Sum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</si>
</sst>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Segoe UI"/>
      <family val="2"/>
    </font>
  </fonts>
  <fills count="2">
    <fill>
      <patternFill patternType="none"/>
    </fill>
    <fill>
      <patternFill patternType="gray125"/>
    </fill>
  </fills>
  <borders count="7">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1">
    <xf numFmtId="0" fontId="0" fillId="0" borderId="0" xfId="0"/>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cellXfs>
  <cellStyles count="1">
    <cellStyle name="Normal" xfId="0" builtinId="0"/>
  </cellStyles>
  <dxfs count="3">
    <dxf>
      <numFmt numFmtId="0" formatCode="General"/>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11/relationships/timelineCache" Target="timelineCaches/timeline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[DashboardDataMacroEnable.xlsm]Dashboard-SugarTax!PivotTable2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'Dashboard-SugarTax'!$C$2</c:f>
              <c:strCache>
                <c:ptCount val="1"/>
                <c:pt idx="0">
                  <c:v>Total</c:v>
                </c:pt>
              </c:strCache>
            </c:strRef>
          </c:tx>
          <c:spPr>
            <a:solidFill>
              <a:schemeClr val="accent1"/>
            </a:solidFill>
            <a:ln>
              <a:noFill/>
            </a:ln>
            <a:effectLst/>
          </c:spPr>
          <c:invertIfNegative val="0"/>
          <c:cat>
            <c:strRef>
              <c:f>'Dashboard-SugarTax'!$B$3:$B$11</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'Dashboard-SugarTax'!$C$3:$C$11</c:f>
              <c:numCache>
                <c:formatCode>General</c:formatCode>
                <c:ptCount val="8"/>
                <c:pt idx="0">
                  <c:v>2606.0250000000001</c:v>
                </c:pt>
                <c:pt idx="1">
                  <c:v>18606.25</c:v>
                </c:pt>
                <c:pt idx="2">
                  <c:v>5661.2749999999996</c:v>
                </c:pt>
                <c:pt idx="3">
                  <c:v>680</c:v>
                </c:pt>
                <c:pt idx="4">
                  <c:v>6071.18</c:v>
                </c:pt>
                <c:pt idx="5">
                  <c:v>5954.1</c:v>
                </c:pt>
                <c:pt idx="6">
                  <c:v>6430.68</c:v>
                </c:pt>
                <c:pt idx="7">
                  <c:v>3786.5</c:v>
                </c:pt>
              </c:numCache>
            </c:numRef>
          </c:val>
          <c:extLst>
            <c:ext xmlns:c16="http://schemas.microsoft.com/office/drawing/2014/chart" uri="{C3380CC4-5D6E-409C-BE32-E72D297353CC}">
              <c16:uniqueId val="{00000001-6A27-41C1-9744-DB26912DD1F7}"/>
            </c:ext>
          </c:extLst>
        </c:ser>
        <c:dLbls>
          <c:showLegendKey val="0"/>
          <c:showVal val="0"/>
          <c:showCatName val="0"/>
          <c:showSerName val="0"/>
          <c:showPercent val="0"/>
          <c:showBubbleSize val="0"/>
        </c:dLbls>
        <c:gapWidth val="219"/>
        <c:overlap val="-27"/>
        <c:axId val="656816576"/>
        <c:axId val="656808376"/>
      </c:barChart>
      <c:catAx>
        <c:axId val="65681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808376"/>
        <c:crosses val="autoZero"/>
        <c:auto val="1"/>
        <c:lblAlgn val="ctr"/>
        <c:lblOffset val="100"/>
        <c:noMultiLvlLbl val="0"/>
      </c:catAx>
      <c:valAx>
        <c:axId val="656808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81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[DashboardDataMacroEnable.xlsm]Dashboard-SAT!PivotTable1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'Dashboard-SAT'!$B$2</c:f>
              <c:strCache>
                <c:ptCount val="1"/>
                <c:pt idx="0">
                  <c:v>Total</c:v>
                </c:pt>
              </c:strCache>
            </c:strRef>
          </c:tx>
          <c:spPr>
            <a:solidFill>
              <a:schemeClr val="accent1"/>
            </a:solidFill>
            <a:ln>
              <a:noFill/>
            </a:ln>
            <a:effectLst/>
          </c:spPr>
          <c:invertIfNegative val="0"/>
          <c:cat>
            <c:strRef>
              <c:f>'Dashboard-SAT'!$A$3:$A$11</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'Dashboard-SAT'!$B$3:$B$11</c:f>
              <c:numCache>
                <c:formatCode>General</c:formatCode>
                <c:ptCount val="8"/>
                <c:pt idx="0">
                  <c:v>2490</c:v>
                </c:pt>
                <c:pt idx="1">
                  <c:v>14578.5</c:v>
                </c:pt>
                <c:pt idx="2">
                  <c:v>4957.5</c:v>
                </c:pt>
                <c:pt idx="3">
                  <c:v>680</c:v>
                </c:pt>
                <c:pt idx="4">
                  <c:v>4530</c:v>
                </c:pt>
                <c:pt idx="5">
                  <c:v>1392</c:v>
                </c:pt>
                <c:pt idx="6">
                  <c:v>3890</c:v>
                </c:pt>
                <c:pt idx="7">
                  <c:v>2046.5</c:v>
                </c:pt>
              </c:numCache>
            </c:numRef>
          </c:val>
          <c:extLst>
            <c:ext xmlns:c16="http://schemas.microsoft.com/office/drawing/2014/chart" uri="{C3380CC4-5D6E-409C-BE32-E72D297353CC}">
              <c16:uniqueId val="{00000002-6A5A-435A-97F7-B55E3CAD92A6}"/>
            </c:ext>
          </c:extLst>
        </c:ser>
        <c:dLbls>
          <c:showLegendKey val="0"/>
          <c:showVal val="0"/>
          <c:showCatName val="0"/>
          <c:showSerName val="0"/>
          <c:showPercent val="0"/>
          <c:showBubbleSize val="0"/>
        </c:dLbls>
        <c:gapWidth val="219"/>
        <c:overlap val="-27"/>
        <c:axId val="536273792"/>
        <c:axId val="529737032"/>
      </c:barChart>
      <c:catAx>
        <c:axId val="53627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37032"/>
        <c:crosses val="autoZero"/>
        <c:auto val="1"/>
        <c:lblAlgn val="ctr"/>
        <c:lblOffset val="100"/>
        <c:noMultiLvlLbl val="0"/>
      </c:catAx>
      <c:valAx>
        <c:axId val="529737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27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[DashboardDataMacroEnable.xlsm]Graphs!PivotTable3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Catagories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Graphs!$E$14</c:f>
              <c:strCache>
                <c:ptCount val="1"/>
                <c:pt idx="0">
                  <c:v>Total</c:v>
                </c:pt>
              </c:strCache>
            </c:strRef>
          </c:tx>
          <c:spPr>
            <a:solidFill>
              <a:schemeClr val="accent1"/>
            </a:solidFill>
            <a:ln>
              <a:noFill/>
            </a:ln>
            <a:effectLst/>
          </c:spPr>
          <c:invertIfNegative val="0"/>
          <c:cat>
            <c:strRef>
              <c:f>Graphs!$D$15:$D$29</c:f>
              <c:strCache>
                <c:ptCount val="14"/>
                <c:pt idx="0">
                  <c:v>Baked Goods &amp; Mixes</c:v>
                </c:pt>
                <c:pt idx="1">
                  <c:v>Beverages</c:v>
                </c:pt>
                <c:pt idx="2">
                  <c:v>Candy</c:v>
                </c:pt>
                <c:pt idx="3">
                  <c:v>Canned Fruit &amp; Vegetables</c:v>
                </c:pt>
                <c:pt idx="4">
                  <c:v>Canned Meat</c:v>
                </c:pt>
                <c:pt idx="5">
                  <c:v>Condiments</c:v>
                </c:pt>
                <c:pt idx="6">
                  <c:v>Dairy Products</c:v>
                </c:pt>
                <c:pt idx="7">
                  <c:v>Dried Fruit &amp; Nuts</c:v>
                </c:pt>
                <c:pt idx="8">
                  <c:v>Grains</c:v>
                </c:pt>
                <c:pt idx="9">
                  <c:v>Jams, Preserves</c:v>
                </c:pt>
                <c:pt idx="10">
                  <c:v>Oil</c:v>
                </c:pt>
                <c:pt idx="11">
                  <c:v>Pasta</c:v>
                </c:pt>
                <c:pt idx="12">
                  <c:v>Sauces</c:v>
                </c:pt>
                <c:pt idx="13">
                  <c:v>Soups</c:v>
                </c:pt>
              </c:strCache>
            </c:strRef>
          </c:cat>
          <c:val>
            <c:numRef>
              <c:f>Graphs!$E$15:$E$29</c:f>
              <c:numCache>
                <c:formatCode>General</c:formatCode>
                <c:ptCount val="14"/>
                <c:pt idx="0">
                  <c:v>982</c:v>
                </c:pt>
                <c:pt idx="1">
                  <c:v>22636</c:v>
                </c:pt>
                <c:pt idx="2">
                  <c:v>2550</c:v>
                </c:pt>
                <c:pt idx="3">
                  <c:v>1560</c:v>
                </c:pt>
                <c:pt idx="4">
                  <c:v>2208</c:v>
                </c:pt>
                <c:pt idx="5">
                  <c:v>1380</c:v>
                </c:pt>
                <c:pt idx="6">
                  <c:v>3132</c:v>
                </c:pt>
                <c:pt idx="7">
                  <c:v>3712.5</c:v>
                </c:pt>
                <c:pt idx="8">
                  <c:v>280</c:v>
                </c:pt>
                <c:pt idx="9">
                  <c:v>5740</c:v>
                </c:pt>
                <c:pt idx="10">
                  <c:v>533.75</c:v>
                </c:pt>
                <c:pt idx="11">
                  <c:v>1950</c:v>
                </c:pt>
                <c:pt idx="12">
                  <c:v>2600</c:v>
                </c:pt>
                <c:pt idx="13">
                  <c:v>2798.5</c:v>
                </c:pt>
              </c:numCache>
            </c:numRef>
          </c:val>
          <c:extLst>
            <c:ext xmlns:c16="http://schemas.microsoft.com/office/drawing/2014/chart" uri="{C3380CC4-5D6E-409C-BE32-E72D297353CC}">
              <c16:uniqueId val="{00000001-7B5D-4F83-B215-FEB16567B2E6}"/>
            </c:ext>
          </c:extLst>
        </c:ser>
        <c:dLbls>
          <c:showLegendKey val="0"/>
          <c:showVal val="0"/>
          <c:showCatName val="0"/>
          <c:showSerName val="0"/>
          <c:showPercent val="0"/>
          <c:showBubbleSize val="0"/>
        </c:dLbls>
        <c:gapWidth val="219"/>
        <c:overlap val="-27"/>
        <c:axId val="705668160"/>
        <c:axId val="705664552"/>
      </c:barChart>
      <c:catAx>
        <c:axId val="70566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664552"/>
        <c:crosses val="autoZero"/>
        <c:auto val="1"/>
        <c:lblAlgn val="ctr"/>
        <c:lblOffset val="100"/>
        <c:noMultiLvlLbl val="0"/>
      </c:catAx>
      <c:valAx>
        <c:axId val="705664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668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[DashboardDataMacroEnable.xlsm]Graphs!PivotTable2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a:t>
            </a:r>
            <a:r>
              <a:rPr lang="en-US" baseline="0"/>
              <a:t> Sale Person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Graphs!$E$2</c:f>
              <c:strCache>
                <c:ptCount val="1"/>
                <c:pt idx="0">
                  <c:v>Total</c:v>
                </c:pt>
              </c:strCache>
            </c:strRef>
          </c:tx>
          <c:spPr>
            <a:solidFill>
              <a:schemeClr val="accent1"/>
            </a:solidFill>
            <a:ln>
              <a:noFill/>
            </a:ln>
            <a:effectLst/>
          </c:spPr>
          <c:invertIfNegative val="0"/>
          <c:cat>
            <c:strRef>
              <c:f>Graphs!$D$3:$D$11</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Graphs!$E$3:$E$11</c:f>
              <c:numCache>
                <c:formatCode>General</c:formatCode>
                <c:ptCount val="8"/>
                <c:pt idx="0">
                  <c:v>2617.5</c:v>
                </c:pt>
                <c:pt idx="1">
                  <c:v>19974.25</c:v>
                </c:pt>
                <c:pt idx="2">
                  <c:v>5787.5</c:v>
                </c:pt>
                <c:pt idx="3">
                  <c:v>680</c:v>
                </c:pt>
                <c:pt idx="4">
                  <c:v>6278</c:v>
                </c:pt>
                <c:pt idx="5">
                  <c:v>6378</c:v>
                </c:pt>
                <c:pt idx="6">
                  <c:v>6561</c:v>
                </c:pt>
                <c:pt idx="7">
                  <c:v>3786.5</c:v>
                </c:pt>
              </c:numCache>
            </c:numRef>
          </c:val>
          <c:extLst>
            <c:ext xmlns:c16="http://schemas.microsoft.com/office/drawing/2014/chart" uri="{C3380CC4-5D6E-409C-BE32-E72D297353CC}">
              <c16:uniqueId val="{00000001-CDD6-400A-9D00-4E2D388099C0}"/>
            </c:ext>
          </c:extLst>
        </c:ser>
        <c:dLbls>
          <c:showLegendKey val="0"/>
          <c:showVal val="0"/>
          <c:showCatName val="0"/>
          <c:showSerName val="0"/>
          <c:showPercent val="0"/>
          <c:showBubbleSize val="0"/>
        </c:dLbls>
        <c:gapWidth val="219"/>
        <c:overlap val="-27"/>
        <c:axId val="470353768"/>
        <c:axId val="458462976"/>
      </c:barChart>
      <c:catAx>
        <c:axId val="470353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462976"/>
        <c:crosses val="autoZero"/>
        <c:auto val="1"/>
        <c:lblAlgn val="ctr"/>
        <c:lblOffset val="100"/>
        <c:noMultiLvlLbl val="0"/>
      </c:catAx>
      <c:valAx>
        <c:axId val="458462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53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C$17" horiz="1" max="100" page="10" val="9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fmlaLink="$M$5"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17</xdr:col>
      <xdr:colOff>295275</xdr:colOff>
      <xdr:row>0</xdr:row>
      <xdr:rowOff>171450</xdr:rowOff>
    </xdr:from>
    <xdr:to>
      <xdr:col>24</xdr:col>
      <xdr:colOff>600075</xdr:colOff>
      <xdr:row>15</xdr:row>
      <xdr:rowOff>57150</xdr:rowOff>
    </xdr:to>
    <xdr:graphicFrame macro="">
      <xdr:nvGraphicFramePr>
        <xdr:cNvPr id="2" name="Chart 1">
          <a:extLst>
            <a:ext uri="{FF2B5EF4-FFF2-40B4-BE49-F238E27FC236}">
              <a16:creationId xmlns:a16="http://schemas.microsoft.com/office/drawing/2014/main" id="{CEC19EC5-3CC6-4682-A2A8-89F7CF35E0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xdr:row>
      <xdr:rowOff>0</xdr:rowOff>
    </xdr:from>
    <xdr:to>
      <xdr:col>10</xdr:col>
      <xdr:colOff>0</xdr:colOff>
      <xdr:row>14</xdr:row>
      <xdr:rowOff>38100</xdr:rowOff>
    </xdr:to>
    <mc:AlternateContent xmlns:mc="http://schemas.openxmlformats.org/markup-compatibility/2006" xmlns:a14="http://schemas.microsoft.com/office/drawing/2010/main">
      <mc:Choice Requires="a14">
        <xdr:graphicFrame macro="">
          <xdr:nvGraphicFramePr>
            <xdr:cNvPr id="3" name="Employee">
              <a:extLst>
                <a:ext uri="{FF2B5EF4-FFF2-40B4-BE49-F238E27FC236}">
                  <a16:creationId xmlns:a16="http://schemas.microsoft.com/office/drawing/2014/main" id="{5BE26D56-321D-4429-95B4-79F1C185F1A6}"/>
                </a:ext>
              </a:extLst>
            </xdr:cNvPr>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mlns="">
        <xdr:sp macro="" textlink="">
          <xdr:nvSpPr>
            <xdr:cNvPr id="0" name=""/>
            <xdr:cNvSpPr>
              <a:spLocks noTextEdit="1"/>
            </xdr:cNvSpPr>
          </xdr:nvSpPr>
          <xdr:spPr>
            <a:xfrm>
              <a:off x="5629275" y="190500"/>
              <a:ext cx="1828800" cy="2524125"/>
            </a:xfrm>
            <a:prstGeom prst="rect">
              <a:avLst/>
            </a:prstGeom>
            <a:solidFill>
              <a:prstClr val="white"/>
            </a:solidFill>
            <a:ln w="1">
              <a:solidFill>
                <a:prstClr val="green"/>
              </a:solidFill>
            </a:ln>
          </xdr:spPr>
          <xdr:txBody>
            <a:bodyPr vertOverflow="clip" horzOverflow="clip"/>
            <a:lstStyle/>
            <a:p>
              <a:r>
                <a:rPr lang="en-I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600075</xdr:colOff>
      <xdr:row>1</xdr:row>
      <xdr:rowOff>19050</xdr:rowOff>
    </xdr:from>
    <xdr:to>
      <xdr:col>16</xdr:col>
      <xdr:colOff>276225</xdr:colOff>
      <xdr:row>8</xdr:row>
      <xdr:rowOff>57150</xdr:rowOff>
    </xdr:to>
    <mc:AlternateContent xmlns:mc="http://schemas.openxmlformats.org/markup-compatibility/2006" xmlns:tsle="http://schemas.microsoft.com/office/drawing/2012/timeslicer">
      <mc:Choice Requires="tsle">
        <xdr:graphicFrame macro="">
          <xdr:nvGraphicFramePr>
            <xdr:cNvPr id="4" name="Order Date">
              <a:extLst>
                <a:ext uri="{FF2B5EF4-FFF2-40B4-BE49-F238E27FC236}">
                  <a16:creationId xmlns:a16="http://schemas.microsoft.com/office/drawing/2014/main" id="{6D09E081-D0CE-4E40-9E82-E2C062B02A9F}"/>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8058150" y="209550"/>
              <a:ext cx="3333750" cy="1371600"/>
            </a:xfrm>
            <a:prstGeom prst="rect">
              <a:avLst/>
            </a:prstGeom>
            <a:solidFill>
              <a:prstClr val="white"/>
            </a:solidFill>
            <a:ln w="1">
              <a:solidFill>
                <a:prstClr val="green"/>
              </a:solidFill>
            </a:ln>
          </xdr:spPr>
          <xdr:txBody>
            <a:bodyPr vertOverflow="clip" horzOverflow="clip"/>
            <a:lstStyle/>
            <a:p>
              <a:r>
                <a:rPr lang="en-IE" sz="1100"/>
                <a:t>Timeline: Works in Excel 2013 or higher. Do not move or resize.</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38101</xdr:colOff>
          <xdr:row>13</xdr:row>
          <xdr:rowOff>57150</xdr:rowOff>
        </xdr:from>
        <xdr:to>
          <xdr:col>2</xdr:col>
          <xdr:colOff>1219201</xdr:colOff>
          <xdr:row>15</xdr:row>
          <xdr:rowOff>38100</xdr:rowOff>
        </xdr:to>
        <xdr:sp macro="" textlink="">
          <xdr:nvSpPr>
            <xdr:cNvPr id="1025" name="Scroll Bar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171450</xdr:colOff>
      <xdr:row>0</xdr:row>
      <xdr:rowOff>180975</xdr:rowOff>
    </xdr:from>
    <xdr:to>
      <xdr:col>11</xdr:col>
      <xdr:colOff>476250</xdr:colOff>
      <xdr:row>15</xdr:row>
      <xdr:rowOff>66675</xdr:rowOff>
    </xdr:to>
    <xdr:graphicFrame macro="">
      <xdr:nvGraphicFramePr>
        <xdr:cNvPr id="2" name="Chart 1">
          <a:extLst>
            <a:ext uri="{FF2B5EF4-FFF2-40B4-BE49-F238E27FC236}">
              <a16:creationId xmlns:a16="http://schemas.microsoft.com/office/drawing/2014/main" id="{662B9107-D75D-4D4D-B65C-AC19236C2C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13</xdr:row>
          <xdr:rowOff>171451</xdr:rowOff>
        </xdr:from>
        <xdr:to>
          <xdr:col>1</xdr:col>
          <xdr:colOff>9525</xdr:colOff>
          <xdr:row>18</xdr:row>
          <xdr:rowOff>1</xdr:rowOff>
        </xdr:to>
        <xdr:sp macro="" textlink="">
          <xdr:nvSpPr>
            <xdr:cNvPr id="3073" name="Group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IE" sz="800" b="0" i="0" u="none" strike="noStrike" baseline="0">
                  <a:solidFill>
                    <a:srgbClr val="000000"/>
                  </a:solidFill>
                  <a:latin typeface="Segoe UI"/>
                  <a:cs typeface="Segoe UI"/>
                </a:rPr>
                <a:t>Group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171450</xdr:rowOff>
        </xdr:from>
        <xdr:to>
          <xdr:col>0</xdr:col>
          <xdr:colOff>1152525</xdr:colOff>
          <xdr:row>16</xdr:row>
          <xdr:rowOff>0</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E" sz="800" b="0" i="0" u="none" strike="noStrike" baseline="0">
                  <a:solidFill>
                    <a:srgbClr val="000000"/>
                  </a:solidFill>
                  <a:latin typeface="Segoe UI"/>
                  <a:cs typeface="Segoe UI"/>
                </a:rPr>
                <a:t>Satisfied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16</xdr:row>
          <xdr:rowOff>19050</xdr:rowOff>
        </xdr:from>
        <xdr:to>
          <xdr:col>0</xdr:col>
          <xdr:colOff>1152525</xdr:colOff>
          <xdr:row>17</xdr:row>
          <xdr:rowOff>38100</xdr:rowOff>
        </xdr:to>
        <xdr:sp macro="" textlink="">
          <xdr:nvSpPr>
            <xdr:cNvPr id="3075" name="Option 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E" sz="800" b="0" i="0" u="none" strike="noStrike" baseline="0">
                  <a:solidFill>
                    <a:srgbClr val="000000"/>
                  </a:solidFill>
                  <a:latin typeface="Segoe UI"/>
                  <a:cs typeface="Segoe UI"/>
                </a:rPr>
                <a:t>Dissatisfied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19050</xdr:rowOff>
        </xdr:from>
        <xdr:to>
          <xdr:col>2</xdr:col>
          <xdr:colOff>609599</xdr:colOff>
          <xdr:row>3</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To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5</xdr:row>
          <xdr:rowOff>9525</xdr:rowOff>
        </xdr:from>
        <xdr:to>
          <xdr:col>2</xdr:col>
          <xdr:colOff>590550</xdr:colOff>
          <xdr:row>7</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To Table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9525</xdr:rowOff>
        </xdr:from>
        <xdr:to>
          <xdr:col>2</xdr:col>
          <xdr:colOff>600075</xdr:colOff>
          <xdr:row>3</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Menu</a:t>
              </a:r>
            </a:p>
          </xdr:txBody>
        </xdr:sp>
        <xdr:clientData fPrintsWithSheet="0"/>
      </xdr:twoCellAnchor>
    </mc:Choice>
    <mc:Fallback/>
  </mc:AlternateContent>
  <xdr:twoCellAnchor>
    <xdr:from>
      <xdr:col>7</xdr:col>
      <xdr:colOff>0</xdr:colOff>
      <xdr:row>1</xdr:row>
      <xdr:rowOff>104775</xdr:rowOff>
    </xdr:from>
    <xdr:to>
      <xdr:col>14</xdr:col>
      <xdr:colOff>304800</xdr:colOff>
      <xdr:row>15</xdr:row>
      <xdr:rowOff>180975</xdr:rowOff>
    </xdr:to>
    <xdr:graphicFrame macro="">
      <xdr:nvGraphicFramePr>
        <xdr:cNvPr id="3" name="Chart Catagoreis">
          <a:extLst>
            <a:ext uri="{FF2B5EF4-FFF2-40B4-BE49-F238E27FC236}">
              <a16:creationId xmlns:a16="http://schemas.microsoft.com/office/drawing/2014/main" id="{4B585FF8-E692-4974-BA41-CA25203435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95250</xdr:rowOff>
    </xdr:from>
    <xdr:to>
      <xdr:col>14</xdr:col>
      <xdr:colOff>304800</xdr:colOff>
      <xdr:row>15</xdr:row>
      <xdr:rowOff>171450</xdr:rowOff>
    </xdr:to>
    <xdr:graphicFrame macro="">
      <xdr:nvGraphicFramePr>
        <xdr:cNvPr id="2" name="ChartSalesPerson">
          <a:extLst>
            <a:ext uri="{FF2B5EF4-FFF2-40B4-BE49-F238E27FC236}">
              <a16:creationId xmlns:a16="http://schemas.microsoft.com/office/drawing/2014/main" id="{4D7C0330-DD68-4660-A019-6F512F9106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18</xdr:row>
          <xdr:rowOff>171450</xdr:rowOff>
        </xdr:from>
        <xdr:to>
          <xdr:col>9</xdr:col>
          <xdr:colOff>0</xdr:colOff>
          <xdr:row>20</xdr:row>
          <xdr:rowOff>152400</xdr:rowOff>
        </xdr:to>
        <xdr:sp macro="" textlink="">
          <xdr:nvSpPr>
            <xdr:cNvPr id="6146" name="BtnShowSalesPerson"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Sales Person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18</xdr:row>
          <xdr:rowOff>180975</xdr:rowOff>
        </xdr:from>
        <xdr:to>
          <xdr:col>9</xdr:col>
          <xdr:colOff>0</xdr:colOff>
          <xdr:row>20</xdr:row>
          <xdr:rowOff>161925</xdr:rowOff>
        </xdr:to>
        <xdr:sp macro="" textlink="">
          <xdr:nvSpPr>
            <xdr:cNvPr id="6147" name="BtnHideSalesPerson"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Categories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19050</xdr:rowOff>
        </xdr:from>
        <xdr:to>
          <xdr:col>2</xdr:col>
          <xdr:colOff>600075</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Menu</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osun akinade" refreshedDate="44607.695160185183" createdVersion="7" refreshedVersion="7" minRefreshableVersion="3" recordCount="49" xr:uid="{CCD28F25-D670-4905-990C-748361961407}">
  <cacheSource type="worksheet">
    <worksheetSource name="Table1"/>
  </cacheSource>
  <cacheFields count="18">
    <cacheField name="Order ID" numFmtId="0">
      <sharedItems containsSemiMixedTypes="0" containsString="0" containsNumber="1" containsInteger="1" minValue="30" maxValue="79"/>
    </cacheField>
    <cacheField name="Order Date" numFmtId="14">
      <sharedItems containsSemiMixedTypes="0" containsNonDate="0" containsDate="1" containsString="0" minDate="2015-01-15T00:00:00" maxDate="2015-06-24T00:00:00" count="23">
        <d v="2015-01-15T00:00:00"/>
        <d v="2015-01-20T00:00:00"/>
        <d v="2015-01-22T00:00:00"/>
        <d v="2015-01-30T00:00:00"/>
        <d v="2015-02-06T00:00:00"/>
        <d v="2015-02-10T00:00:00"/>
        <d v="2015-02-23T00:00:00"/>
        <d v="2015-03-06T00:00:00"/>
        <d v="2015-03-10T00:00:00"/>
        <d v="2015-03-22T00:00:00"/>
        <d v="2015-03-24T00:00:00"/>
        <d v="2015-04-03T00:00:00"/>
        <d v="2015-04-05T00:00:00"/>
        <d v="2015-04-07T00:00:00"/>
        <d v="2015-04-08T00:00:00"/>
        <d v="2015-04-22T00:00:00"/>
        <d v="2015-04-25T00:00:00"/>
        <d v="2015-04-30T00:00:00"/>
        <d v="2015-05-24T00:00:00"/>
        <d v="2015-06-05T00:00:00"/>
        <d v="2015-06-07T00:00:00"/>
        <d v="2015-06-08T00:00:00"/>
        <d v="2015-06-23T00:00:00"/>
      </sharedItems>
    </cacheField>
    <cacheField name="Employee" numFmtId="0">
      <sharedItems count="8">
        <s v="Anne Hellung-Larsen"/>
        <s v="Jan Kotas"/>
        <s v="Mariya Sergienko"/>
        <s v="Michael Neipper"/>
        <s v="Laura Giussani"/>
        <s v="Nancy Freehafer"/>
        <s v="Andrew Cencini"/>
        <s v="Robert Zare"/>
      </sharedItems>
    </cacheField>
    <cacheField name="Customer Name" numFmtId="0">
      <sharedItems/>
    </cacheField>
    <cacheField name="Category" numFmtId="0">
      <sharedItems count="14">
        <s v="Beverages"/>
        <s v="Dried Fruit &amp; Nuts"/>
        <s v="Baked Goods &amp; Mixes"/>
        <s v="Candy"/>
        <s v="Soups"/>
        <s v="Sauces"/>
        <s v="Condiments"/>
        <s v="Jams, Preserves"/>
        <s v="Dairy Products"/>
        <s v="Pasta"/>
        <s v="Canned Meat"/>
        <s v="Oil"/>
        <s v="Grains"/>
        <s v="Canned Fruit &amp; Vegetables"/>
      </sharedItems>
    </cacheField>
    <cacheField name="Product Name" numFmtId="0">
      <sharedItems/>
    </cacheField>
    <cacheField name="Sales" numFmtId="0">
      <sharedItems containsSemiMixedTypes="0" containsString="0" containsNumber="1" minValue="35" maxValue="13800"/>
    </cacheField>
    <cacheField name="NetSugarTax" numFmtId="0">
      <sharedItems containsSemiMixedTypes="0" containsString="0" containsNumber="1" minValue="35" maxValue="12558"/>
    </cacheField>
    <cacheField name="Payment Type" numFmtId="0">
      <sharedItems containsBlank="1"/>
    </cacheField>
    <cacheField name="CSAT" numFmtId="0">
      <sharedItems containsSemiMixedTypes="0" containsString="0" containsNumber="1" minValue="0.63" maxValue="1"/>
    </cacheField>
    <cacheField name="SalesCSAT" numFmtId="0">
      <sharedItems containsSemiMixedTypes="0" containsString="0" containsNumber="1" minValue="0" maxValue="13800"/>
    </cacheField>
    <cacheField name="Last Name" numFmtId="0">
      <sharedItems/>
    </cacheField>
    <cacheField name="First Name" numFmtId="0">
      <sharedItems/>
    </cacheField>
    <cacheField name="Address" numFmtId="0">
      <sharedItems/>
    </cacheField>
    <cacheField name="City" numFmtId="0">
      <sharedItems/>
    </cacheField>
    <cacheField name="State/Province" numFmtId="0">
      <sharedItems/>
    </cacheField>
    <cacheField name="Map Sales" numFmtId="0">
      <sharedItems containsSemiMixedTypes="0" containsString="0" containsNumber="1" minValue="35" maxValue="13800"/>
    </cacheField>
    <cacheField name="Quarter" numFmtId="0">
      <sharedItems containsSemiMixedTypes="0" containsString="0" containsNumber="1" containsInteger="1" minValue="1" maxValue="2"/>
    </cacheField>
  </cacheFields>
  <extLst>
    <ext xmlns:x14="http://schemas.microsoft.com/office/spreadsheetml/2009/9/main" uri="{725AE2AE-9491-48be-B2B4-4EB974FC3084}">
      <x14:pivotCacheDefinition pivotCacheId="20983014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n v="30"/>
    <x v="0"/>
    <x v="0"/>
    <s v="Company AA"/>
    <x v="0"/>
    <s v="Beer"/>
    <n v="1400"/>
    <n v="1274"/>
    <s v="Check"/>
    <n v="0.81"/>
    <n v="0"/>
    <s v="Toh"/>
    <s v="Karen"/>
    <s v="789 27th Street"/>
    <s v="Las Vegas"/>
    <s v="NV"/>
    <n v="1400"/>
    <n v="1"/>
  </r>
  <r>
    <n v="30"/>
    <x v="0"/>
    <x v="0"/>
    <s v="Company AA"/>
    <x v="1"/>
    <s v="Dried Plums"/>
    <n v="105"/>
    <n v="105"/>
    <s v="Check"/>
    <n v="0.65"/>
    <n v="105"/>
    <s v="Toh"/>
    <s v="Karen"/>
    <s v="789 27th Street"/>
    <s v="Las Vegas"/>
    <s v="NV"/>
    <n v="105"/>
    <n v="1"/>
  </r>
  <r>
    <n v="31"/>
    <x v="1"/>
    <x v="1"/>
    <s v="Company D"/>
    <x v="1"/>
    <s v="Dried Apples"/>
    <n v="530"/>
    <n v="530"/>
    <s v="Credit Card"/>
    <n v="0.97"/>
    <n v="0"/>
    <s v="Lee"/>
    <s v="Christina"/>
    <s v="123 4th Street"/>
    <s v="New York"/>
    <s v="NY"/>
    <n v="530"/>
    <n v="1"/>
  </r>
  <r>
    <n v="31"/>
    <x v="1"/>
    <x v="1"/>
    <s v="Company D"/>
    <x v="1"/>
    <s v="Dried Pears"/>
    <n v="300"/>
    <n v="300"/>
    <s v="Credit Card"/>
    <n v="0.86"/>
    <n v="0"/>
    <s v="Lee"/>
    <s v="Christina"/>
    <s v="123 4th Street"/>
    <s v="New York"/>
    <s v="NY"/>
    <n v="300"/>
    <n v="1"/>
  </r>
  <r>
    <n v="31"/>
    <x v="1"/>
    <x v="1"/>
    <s v="Company D"/>
    <x v="1"/>
    <s v="Dried Plums"/>
    <n v="35"/>
    <n v="35"/>
    <s v="Credit Card"/>
    <n v="0.66"/>
    <n v="35"/>
    <s v="Lee"/>
    <s v="Christina"/>
    <s v="123 4th Street"/>
    <s v="New York"/>
    <s v="NY"/>
    <n v="35"/>
    <n v="1"/>
  </r>
  <r>
    <n v="32"/>
    <x v="2"/>
    <x v="2"/>
    <s v="Company L"/>
    <x v="0"/>
    <s v="Chai"/>
    <n v="270"/>
    <n v="245.7"/>
    <s v="Credit Card"/>
    <n v="0.67"/>
    <n v="270"/>
    <s v="Edwards"/>
    <s v="John"/>
    <s v="123 12th Street"/>
    <s v="Las Vegas"/>
    <s v="NV"/>
    <n v="270"/>
    <n v="1"/>
  </r>
  <r>
    <n v="32"/>
    <x v="2"/>
    <x v="2"/>
    <s v="Company L"/>
    <x v="0"/>
    <s v="Coffee"/>
    <n v="920"/>
    <n v="837.2"/>
    <s v="Credit Card"/>
    <n v="1"/>
    <n v="0"/>
    <s v="Edwards"/>
    <s v="John"/>
    <s v="123 12th Street"/>
    <s v="Las Vegas"/>
    <s v="NV"/>
    <n v="920"/>
    <n v="1"/>
  </r>
  <r>
    <n v="33"/>
    <x v="3"/>
    <x v="3"/>
    <s v="Company H"/>
    <x v="2"/>
    <s v="Chocolate Biscuits Mix"/>
    <n v="276"/>
    <n v="276"/>
    <s v="Credit Card"/>
    <n v="1"/>
    <n v="0"/>
    <s v="Andersen"/>
    <s v="Elizabeth"/>
    <s v="123 8th Street"/>
    <s v="Portland"/>
    <s v="OR"/>
    <n v="276"/>
    <n v="1"/>
  </r>
  <r>
    <n v="34"/>
    <x v="4"/>
    <x v="0"/>
    <s v="Company D"/>
    <x v="2"/>
    <s v="Chocolate Biscuits Mix"/>
    <n v="184"/>
    <n v="184"/>
    <s v="Check"/>
    <n v="0.74"/>
    <n v="184"/>
    <s v="Lee"/>
    <s v="Christina"/>
    <s v="123 4th Street"/>
    <s v="New York"/>
    <s v="NY"/>
    <n v="184"/>
    <n v="1"/>
  </r>
  <r>
    <n v="35"/>
    <x v="5"/>
    <x v="1"/>
    <s v="Company CC"/>
    <x v="3"/>
    <s v="Chocolate"/>
    <n v="127.5"/>
    <n v="116.02500000000001"/>
    <s v="Check"/>
    <n v="0.65"/>
    <n v="127.5"/>
    <s v="Lee"/>
    <s v="Soo Jung"/>
    <s v="789 29th Street"/>
    <s v="Denver"/>
    <s v="CO"/>
    <n v="127.5"/>
    <n v="1"/>
  </r>
  <r>
    <n v="36"/>
    <x v="6"/>
    <x v="2"/>
    <s v="Company C"/>
    <x v="4"/>
    <s v="Clam Chowder"/>
    <n v="1930"/>
    <n v="1930"/>
    <s v="Cash"/>
    <n v="0.8"/>
    <n v="1930"/>
    <s v="Axen"/>
    <s v="Thomas"/>
    <s v="123 3rd Street"/>
    <s v="Los Angelas"/>
    <s v="CA"/>
    <n v="1930"/>
    <n v="1"/>
  </r>
  <r>
    <n v="37"/>
    <x v="7"/>
    <x v="4"/>
    <s v="Company F"/>
    <x v="5"/>
    <s v="Curry Sauce"/>
    <n v="680"/>
    <n v="680"/>
    <s v="Credit Card"/>
    <n v="0.63"/>
    <n v="680"/>
    <s v="Pérez-Olaeta"/>
    <s v="Francisco"/>
    <s v="123 6th Street"/>
    <s v="Milwaukee"/>
    <s v="WI"/>
    <n v="680"/>
    <n v="1"/>
  </r>
  <r>
    <n v="38"/>
    <x v="8"/>
    <x v="0"/>
    <s v="Company BB"/>
    <x v="0"/>
    <s v="Coffee"/>
    <n v="13800"/>
    <n v="12558"/>
    <s v="Check"/>
    <n v="0.69"/>
    <n v="13800"/>
    <s v="Raghav"/>
    <s v="Amritansh"/>
    <s v="789 28th Street"/>
    <s v="Memphis"/>
    <s v="TN"/>
    <n v="13800"/>
    <n v="1"/>
  </r>
  <r>
    <n v="39"/>
    <x v="9"/>
    <x v="1"/>
    <s v="Company H"/>
    <x v="3"/>
    <s v="Chocolate"/>
    <n v="1275"/>
    <n v="1160.25"/>
    <s v="Check"/>
    <n v="0.76"/>
    <n v="1275"/>
    <s v="Andersen"/>
    <s v="Elizabeth"/>
    <s v="123 8th Street"/>
    <s v="Portland"/>
    <s v="OR"/>
    <n v="1275"/>
    <n v="1"/>
  </r>
  <r>
    <n v="42"/>
    <x v="10"/>
    <x v="5"/>
    <s v="Company J"/>
    <x v="2"/>
    <s v="Chocolate Biscuits Mix"/>
    <n v="92"/>
    <n v="92"/>
    <m/>
    <n v="0.66"/>
    <n v="92"/>
    <s v="Wacker"/>
    <s v="Roland"/>
    <s v="123 10th Street"/>
    <s v="Chicago"/>
    <s v="IL"/>
    <n v="92"/>
    <n v="1"/>
  </r>
  <r>
    <n v="40"/>
    <x v="10"/>
    <x v="2"/>
    <s v="Company J"/>
    <x v="0"/>
    <s v="Green Tea"/>
    <n v="598"/>
    <n v="544.17999999999995"/>
    <s v="Credit Card"/>
    <n v="0.92"/>
    <n v="0"/>
    <s v="Wacker"/>
    <s v="Roland"/>
    <s v="123 10th Street"/>
    <s v="Chicago"/>
    <s v="IL"/>
    <n v="598"/>
    <n v="1"/>
  </r>
  <r>
    <n v="42"/>
    <x v="10"/>
    <x v="5"/>
    <s v="Company J"/>
    <x v="6"/>
    <s v="Cajun Seasoning"/>
    <n v="220"/>
    <n v="220"/>
    <m/>
    <n v="0.73"/>
    <n v="220"/>
    <s v="Wacker"/>
    <s v="Roland"/>
    <s v="123 10th Street"/>
    <s v="Chicago"/>
    <s v="IL"/>
    <n v="220"/>
    <n v="1"/>
  </r>
  <r>
    <n v="42"/>
    <x v="10"/>
    <x v="5"/>
    <s v="Company J"/>
    <x v="7"/>
    <s v="Boysenberry Spread"/>
    <n v="250"/>
    <n v="250"/>
    <m/>
    <n v="0.96"/>
    <n v="0"/>
    <s v="Wacker"/>
    <s v="Roland"/>
    <s v="123 10th Street"/>
    <s v="Chicago"/>
    <s v="IL"/>
    <n v="250"/>
    <n v="1"/>
  </r>
  <r>
    <n v="56"/>
    <x v="11"/>
    <x v="6"/>
    <s v="Company F"/>
    <x v="3"/>
    <s v="Chocolate"/>
    <n v="127.5"/>
    <n v="116.02500000000001"/>
    <s v="Check"/>
    <n v="0.82"/>
    <n v="0"/>
    <s v="Pérez-Olaeta"/>
    <s v="Francisco"/>
    <s v="123 6th Street"/>
    <s v="Milwaukee"/>
    <s v="WI"/>
    <n v="127.5"/>
    <n v="2"/>
  </r>
  <r>
    <n v="55"/>
    <x v="12"/>
    <x v="5"/>
    <s v="Company CC"/>
    <x v="0"/>
    <s v="Beer"/>
    <n v="1218"/>
    <n v="1108.3800000000001"/>
    <s v="Check"/>
    <n v="0.67"/>
    <n v="1218"/>
    <s v="Lee"/>
    <s v="Soo Jung"/>
    <s v="789 29th Street"/>
    <s v="Denver"/>
    <s v="CO"/>
    <n v="1218"/>
    <n v="2"/>
  </r>
  <r>
    <n v="48"/>
    <x v="12"/>
    <x v="2"/>
    <s v="Company H"/>
    <x v="2"/>
    <s v="Chocolate Biscuits Mix"/>
    <n v="230"/>
    <n v="230"/>
    <s v="Check"/>
    <n v="0.88"/>
    <n v="0"/>
    <s v="Andersen"/>
    <s v="Elizabeth"/>
    <s v="123 8th Street"/>
    <s v="Portland"/>
    <s v="OR"/>
    <n v="230"/>
    <n v="2"/>
  </r>
  <r>
    <n v="48"/>
    <x v="12"/>
    <x v="2"/>
    <s v="Company H"/>
    <x v="5"/>
    <s v="Curry Sauce"/>
    <n v="1000"/>
    <n v="1000"/>
    <s v="Check"/>
    <n v="0.64"/>
    <n v="1000"/>
    <s v="Andersen"/>
    <s v="Elizabeth"/>
    <s v="123 8th Street"/>
    <s v="Portland"/>
    <s v="OR"/>
    <n v="1000"/>
    <n v="2"/>
  </r>
  <r>
    <n v="46"/>
    <x v="12"/>
    <x v="7"/>
    <s v="Company I"/>
    <x v="8"/>
    <s v="Mozzarella"/>
    <n v="1740"/>
    <n v="1740"/>
    <s v="Check"/>
    <n v="0.92"/>
    <n v="0"/>
    <s v="Mortensen"/>
    <s v="Sven"/>
    <s v="123 9th Street"/>
    <s v="Salt Lake City"/>
    <s v="UT"/>
    <n v="1740"/>
    <n v="2"/>
  </r>
  <r>
    <n v="46"/>
    <x v="12"/>
    <x v="7"/>
    <s v="Company I"/>
    <x v="9"/>
    <s v="Ravioli"/>
    <n v="1950"/>
    <n v="1950"/>
    <s v="Check"/>
    <n v="0.64"/>
    <n v="1950"/>
    <s v="Mortensen"/>
    <s v="Sven"/>
    <s v="123 9th Street"/>
    <s v="Salt Lake City"/>
    <s v="UT"/>
    <n v="1950"/>
    <n v="2"/>
  </r>
  <r>
    <n v="50"/>
    <x v="12"/>
    <x v="0"/>
    <s v="Company Y"/>
    <x v="2"/>
    <s v="Scones"/>
    <n v="200"/>
    <n v="200"/>
    <s v="Cash"/>
    <n v="0.8"/>
    <n v="200"/>
    <s v="Rodman"/>
    <s v="John"/>
    <s v="789 25th Street"/>
    <s v="Chicago"/>
    <s v="IL"/>
    <n v="200"/>
    <n v="2"/>
  </r>
  <r>
    <n v="51"/>
    <x v="12"/>
    <x v="0"/>
    <s v="Company Z"/>
    <x v="10"/>
    <s v="Crab Meat"/>
    <n v="552"/>
    <n v="552"/>
    <s v="Credit Card"/>
    <n v="1"/>
    <n v="0"/>
    <s v="Liu"/>
    <s v="Run"/>
    <s v="789 26th Street"/>
    <s v="Miami"/>
    <s v="FL"/>
    <n v="552"/>
    <n v="2"/>
  </r>
  <r>
    <n v="51"/>
    <x v="12"/>
    <x v="0"/>
    <s v="Company Z"/>
    <x v="11"/>
    <s v="Olive Oil"/>
    <n v="533.75"/>
    <n v="533.75"/>
    <s v="Credit Card"/>
    <n v="0.95"/>
    <n v="0"/>
    <s v="Liu"/>
    <s v="Run"/>
    <s v="789 26th Street"/>
    <s v="Miami"/>
    <s v="FL"/>
    <n v="533.75"/>
    <n v="2"/>
  </r>
  <r>
    <n v="51"/>
    <x v="12"/>
    <x v="0"/>
    <s v="Company Z"/>
    <x v="4"/>
    <s v="Clam Chowder"/>
    <n v="289.5"/>
    <n v="289.5"/>
    <s v="Credit Card"/>
    <n v="0.66"/>
    <n v="289.5"/>
    <s v="Liu"/>
    <s v="Run"/>
    <s v="789 26th Street"/>
    <s v="Miami"/>
    <s v="FL"/>
    <n v="289.5"/>
    <n v="2"/>
  </r>
  <r>
    <n v="45"/>
    <x v="13"/>
    <x v="5"/>
    <s v="Company BB"/>
    <x v="10"/>
    <s v="Crab Meat"/>
    <n v="920"/>
    <n v="920"/>
    <s v="Credit Card"/>
    <n v="0.97"/>
    <n v="0"/>
    <s v="Raghav"/>
    <s v="Amritansh"/>
    <s v="789 28th Street"/>
    <s v="Memphis"/>
    <s v="TN"/>
    <n v="920"/>
    <n v="2"/>
  </r>
  <r>
    <n v="45"/>
    <x v="13"/>
    <x v="5"/>
    <s v="Company BB"/>
    <x v="4"/>
    <s v="Clam Chowder"/>
    <n v="482.5"/>
    <n v="482.5"/>
    <s v="Credit Card"/>
    <n v="0.97"/>
    <n v="0"/>
    <s v="Raghav"/>
    <s v="Amritansh"/>
    <s v="789 28th Street"/>
    <s v="Memphis"/>
    <s v="TN"/>
    <n v="482.5"/>
    <n v="2"/>
  </r>
  <r>
    <n v="47"/>
    <x v="14"/>
    <x v="3"/>
    <s v="Company F"/>
    <x v="0"/>
    <s v="Beer"/>
    <n v="4200"/>
    <n v="3822"/>
    <s v="Credit Card"/>
    <n v="0.81"/>
    <n v="0"/>
    <s v="Pérez-Olaeta"/>
    <s v="Francisco"/>
    <s v="123 6th Street"/>
    <s v="Milwaukee"/>
    <s v="WI"/>
    <n v="4200"/>
    <n v="2"/>
  </r>
  <r>
    <n v="58"/>
    <x v="15"/>
    <x v="1"/>
    <s v="Company D"/>
    <x v="12"/>
    <s v="Long Grain Rice"/>
    <n v="280"/>
    <n v="280"/>
    <s v="Credit Card"/>
    <n v="0.66"/>
    <n v="280"/>
    <s v="Lee"/>
    <s v="Christina"/>
    <s v="123 4th Street"/>
    <s v="New York"/>
    <s v="NY"/>
    <n v="280"/>
    <n v="2"/>
  </r>
  <r>
    <n v="58"/>
    <x v="15"/>
    <x v="1"/>
    <s v="Company D"/>
    <x v="7"/>
    <s v="Marmalade"/>
    <n v="3240"/>
    <n v="3240"/>
    <s v="Credit Card"/>
    <n v="0.72"/>
    <n v="3240"/>
    <s v="Lee"/>
    <s v="Christina"/>
    <s v="123 4th Street"/>
    <s v="New York"/>
    <s v="NY"/>
    <n v="3240"/>
    <n v="2"/>
  </r>
  <r>
    <n v="63"/>
    <x v="16"/>
    <x v="2"/>
    <s v="Company C"/>
    <x v="6"/>
    <s v="Syrup"/>
    <n v="500"/>
    <n v="500"/>
    <s v="Cash"/>
    <n v="0.64"/>
    <n v="500"/>
    <s v="Axen"/>
    <s v="Thomas"/>
    <s v="123 3rd Street"/>
    <s v="Los Angelas"/>
    <s v="CA"/>
    <n v="500"/>
    <n v="2"/>
  </r>
  <r>
    <n v="63"/>
    <x v="16"/>
    <x v="2"/>
    <s v="Company C"/>
    <x v="5"/>
    <s v="Curry Sauce"/>
    <n v="120"/>
    <n v="120"/>
    <s v="Cash"/>
    <n v="0.66"/>
    <n v="120"/>
    <s v="Axen"/>
    <s v="Thomas"/>
    <s v="123 3rd Street"/>
    <s v="Los Angelas"/>
    <s v="CA"/>
    <n v="120"/>
    <n v="2"/>
  </r>
  <r>
    <n v="60"/>
    <x v="17"/>
    <x v="3"/>
    <s v="Company H"/>
    <x v="8"/>
    <s v="Mozzarella"/>
    <n v="1392"/>
    <n v="1392"/>
    <s v="Credit Card"/>
    <n v="0.8"/>
    <n v="1392"/>
    <s v="Andersen"/>
    <s v="Elizabeth"/>
    <s v="123 8th Street"/>
    <s v="Portland"/>
    <s v="OR"/>
    <n v="1392"/>
    <n v="2"/>
  </r>
  <r>
    <n v="71"/>
    <x v="18"/>
    <x v="5"/>
    <s v="Company A"/>
    <x v="10"/>
    <s v="Crab Meat"/>
    <n v="736"/>
    <n v="736"/>
    <m/>
    <n v="0.92"/>
    <n v="0"/>
    <s v="Bedecs"/>
    <s v="Anna"/>
    <s v="123 1st Street"/>
    <s v="Seattle"/>
    <s v="WA"/>
    <n v="736"/>
    <n v="2"/>
  </r>
  <r>
    <n v="67"/>
    <x v="18"/>
    <x v="2"/>
    <s v="Company J"/>
    <x v="1"/>
    <s v="Almonds"/>
    <n v="200"/>
    <n v="200"/>
    <s v="Credit Card"/>
    <n v="0.63"/>
    <n v="200"/>
    <s v="Wacker"/>
    <s v="Roland"/>
    <s v="123 10th Street"/>
    <s v="Chicago"/>
    <s v="IL"/>
    <n v="200"/>
    <n v="2"/>
  </r>
  <r>
    <n v="69"/>
    <x v="18"/>
    <x v="5"/>
    <s v="Company J"/>
    <x v="1"/>
    <s v="Dried Plums"/>
    <n v="52.5"/>
    <n v="52.5"/>
    <m/>
    <n v="0.86"/>
    <n v="0"/>
    <s v="Wacker"/>
    <s v="Roland"/>
    <s v="123 10th Street"/>
    <s v="Chicago"/>
    <s v="IL"/>
    <n v="52.5"/>
    <n v="2"/>
  </r>
  <r>
    <n v="70"/>
    <x v="18"/>
    <x v="5"/>
    <s v="Company K"/>
    <x v="5"/>
    <s v="Curry Sauce"/>
    <n v="800"/>
    <n v="800"/>
    <m/>
    <n v="0.8"/>
    <n v="800"/>
    <s v="Krschne"/>
    <s v="Peter"/>
    <s v="123 11th Street"/>
    <s v="Miami"/>
    <s v="FL"/>
    <n v="800"/>
    <n v="2"/>
  </r>
  <r>
    <n v="78"/>
    <x v="19"/>
    <x v="5"/>
    <s v="Company CC"/>
    <x v="13"/>
    <s v="Fruit Cocktail"/>
    <n v="1560"/>
    <n v="1560"/>
    <s v="Check"/>
    <n v="0.69"/>
    <n v="1560"/>
    <s v="Lee"/>
    <s v="Soo Jung"/>
    <s v="789 29th Street"/>
    <s v="Denver"/>
    <s v="CO"/>
    <n v="1560"/>
    <n v="2"/>
  </r>
  <r>
    <n v="75"/>
    <x v="19"/>
    <x v="2"/>
    <s v="Company H"/>
    <x v="3"/>
    <s v="Chocolate"/>
    <n v="510"/>
    <n v="464.1"/>
    <s v="Check"/>
    <n v="0.72"/>
    <n v="510"/>
    <s v="Andersen"/>
    <s v="Elizabeth"/>
    <s v="123 8th Street"/>
    <s v="Portland"/>
    <s v="OR"/>
    <n v="510"/>
    <n v="2"/>
  </r>
  <r>
    <n v="73"/>
    <x v="19"/>
    <x v="7"/>
    <s v="Company I"/>
    <x v="4"/>
    <s v="Clam Chowder"/>
    <n v="96.5"/>
    <n v="96.5"/>
    <s v="Check"/>
    <n v="0.65"/>
    <n v="96.5"/>
    <s v="Mortensen"/>
    <s v="Sven"/>
    <s v="123 9th Street"/>
    <s v="Salt Lake City"/>
    <s v="UT"/>
    <n v="96.5"/>
    <n v="2"/>
  </r>
  <r>
    <n v="76"/>
    <x v="19"/>
    <x v="0"/>
    <s v="Company Y"/>
    <x v="6"/>
    <s v="Cajun Seasoning"/>
    <n v="660"/>
    <n v="660"/>
    <s v="Cash"/>
    <n v="0.95"/>
    <n v="0"/>
    <s v="Rodman"/>
    <s v="John"/>
    <s v="789 25th Street"/>
    <s v="Chicago"/>
    <s v="IL"/>
    <n v="660"/>
    <n v="2"/>
  </r>
  <r>
    <n v="77"/>
    <x v="19"/>
    <x v="0"/>
    <s v="Company Z"/>
    <x v="7"/>
    <s v="Boysenberry Spread"/>
    <n v="2250"/>
    <n v="2250"/>
    <s v="Credit Card"/>
    <n v="0.85"/>
    <n v="0"/>
    <s v="Liu"/>
    <s v="Run"/>
    <s v="789 26th Street"/>
    <s v="Miami"/>
    <s v="FL"/>
    <n v="2250"/>
    <n v="2"/>
  </r>
  <r>
    <n v="72"/>
    <x v="20"/>
    <x v="5"/>
    <s v="Company BB"/>
    <x v="0"/>
    <s v="Coffee"/>
    <n v="230"/>
    <n v="209.3"/>
    <s v="Credit Card"/>
    <n v="0.96"/>
    <n v="0"/>
    <s v="Raghav"/>
    <s v="Amritansh"/>
    <s v="789 28th Street"/>
    <s v="Memphis"/>
    <s v="TN"/>
    <n v="230"/>
    <n v="2"/>
  </r>
  <r>
    <n v="74"/>
    <x v="21"/>
    <x v="3"/>
    <s v="Company F"/>
    <x v="3"/>
    <s v="Chocolate"/>
    <n v="510"/>
    <n v="464.1"/>
    <s v="Credit Card"/>
    <n v="0.92"/>
    <n v="0"/>
    <s v="Pérez-Olaeta"/>
    <s v="Francisco"/>
    <s v="123 6th Street"/>
    <s v="Milwaukee"/>
    <s v="WI"/>
    <n v="510"/>
    <n v="2"/>
  </r>
  <r>
    <n v="79"/>
    <x v="22"/>
    <x v="6"/>
    <s v="Company F"/>
    <x v="1"/>
    <s v="Dried Apples"/>
    <n v="1590"/>
    <n v="1590"/>
    <s v="Check"/>
    <n v="0.64"/>
    <n v="1590"/>
    <s v="Pérez-Olaeta"/>
    <s v="Francisco"/>
    <s v="123 6th Street"/>
    <s v="Milwaukee"/>
    <s v="WI"/>
    <n v="1590"/>
    <n v="2"/>
  </r>
  <r>
    <n v="79"/>
    <x v="22"/>
    <x v="6"/>
    <s v="Company F"/>
    <x v="1"/>
    <s v="Dried Pears"/>
    <n v="900"/>
    <n v="900"/>
    <s v="Check"/>
    <n v="0.68"/>
    <n v="900"/>
    <s v="Pérez-Olaeta"/>
    <s v="Francisco"/>
    <s v="123 6th Street"/>
    <s v="Milwaukee"/>
    <s v="WI"/>
    <n v="90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7FE8EC-E487-4591-8654-2ED3504CF328}" name="PivotTable2" cacheId="234"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1">
  <location ref="B2:C11" firstHeaderRow="1" firstDataRow="1" firstDataCol="1"/>
  <pivotFields count="18">
    <pivotField showAll="0"/>
    <pivotField numFmtId="14" showAll="0">
      <items count="24">
        <item x="0"/>
        <item x="1"/>
        <item x="2"/>
        <item x="3"/>
        <item x="4"/>
        <item x="5"/>
        <item x="6"/>
        <item x="7"/>
        <item x="8"/>
        <item x="9"/>
        <item x="10"/>
        <item x="11"/>
        <item x="12"/>
        <item x="13"/>
        <item x="14"/>
        <item x="15"/>
        <item x="16"/>
        <item x="17"/>
        <item x="18"/>
        <item x="19"/>
        <item x="20"/>
        <item x="21"/>
        <item x="22"/>
        <item t="default"/>
      </items>
    </pivotField>
    <pivotField axis="axisRow" showAll="0">
      <items count="9">
        <item x="6"/>
        <item x="0"/>
        <item x="1"/>
        <item x="4"/>
        <item x="2"/>
        <item x="3"/>
        <item x="5"/>
        <item x="7"/>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2"/>
  </rowFields>
  <rowItems count="9">
    <i>
      <x/>
    </i>
    <i>
      <x v="1"/>
    </i>
    <i>
      <x v="2"/>
    </i>
    <i>
      <x v="3"/>
    </i>
    <i>
      <x v="4"/>
    </i>
    <i>
      <x v="5"/>
    </i>
    <i>
      <x v="6"/>
    </i>
    <i>
      <x v="7"/>
    </i>
    <i t="grand">
      <x/>
    </i>
  </rowItems>
  <colItems count="1">
    <i/>
  </colItems>
  <dataFields count="1">
    <dataField name="Sum of NetSugarTax" fld="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B3C237-4655-4EBD-B533-920225072B10}" name="PivotTable1" cacheId="2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2:B11" firstHeaderRow="1" firstDataRow="1" firstDataCol="1"/>
  <pivotFields count="18">
    <pivotField showAll="0"/>
    <pivotField numFmtId="14" showAll="0"/>
    <pivotField axis="axisRow" showAll="0">
      <items count="9">
        <item x="6"/>
        <item x="0"/>
        <item x="1"/>
        <item x="4"/>
        <item x="2"/>
        <item x="3"/>
        <item x="5"/>
        <item x="7"/>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2"/>
  </rowFields>
  <rowItems count="9">
    <i>
      <x/>
    </i>
    <i>
      <x v="1"/>
    </i>
    <i>
      <x v="2"/>
    </i>
    <i>
      <x v="3"/>
    </i>
    <i>
      <x v="4"/>
    </i>
    <i>
      <x v="5"/>
    </i>
    <i>
      <x v="6"/>
    </i>
    <i>
      <x v="7"/>
    </i>
    <i t="grand">
      <x/>
    </i>
  </rowItems>
  <colItems count="1">
    <i/>
  </colItems>
  <dataFields count="1">
    <dataField name="Sum of SalesCSAT" fld="10"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C2A6ED-3486-4E8B-A296-2F086EE27929}" name="PivotTable3" cacheId="2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D14:E29" firstHeaderRow="1" firstDataRow="1" firstDataCol="1"/>
  <pivotFields count="18">
    <pivotField showAll="0"/>
    <pivotField numFmtId="14" showAll="0"/>
    <pivotField showAll="0"/>
    <pivotField showAll="0"/>
    <pivotField axis="axisRow" showAll="0">
      <items count="15">
        <item x="2"/>
        <item x="0"/>
        <item x="3"/>
        <item x="13"/>
        <item x="10"/>
        <item x="6"/>
        <item x="8"/>
        <item x="1"/>
        <item x="12"/>
        <item x="7"/>
        <item x="11"/>
        <item x="9"/>
        <item x="5"/>
        <item x="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15">
    <i>
      <x/>
    </i>
    <i>
      <x v="1"/>
    </i>
    <i>
      <x v="2"/>
    </i>
    <i>
      <x v="3"/>
    </i>
    <i>
      <x v="4"/>
    </i>
    <i>
      <x v="5"/>
    </i>
    <i>
      <x v="6"/>
    </i>
    <i>
      <x v="7"/>
    </i>
    <i>
      <x v="8"/>
    </i>
    <i>
      <x v="9"/>
    </i>
    <i>
      <x v="10"/>
    </i>
    <i>
      <x v="11"/>
    </i>
    <i>
      <x v="12"/>
    </i>
    <i>
      <x v="13"/>
    </i>
    <i t="grand">
      <x/>
    </i>
  </rowItems>
  <colItems count="1">
    <i/>
  </colItems>
  <dataFields count="1">
    <dataField name="Sum of Sales" fld="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4A9858-473C-47EF-B41D-3F06B8CBB0A1}" name="PivotTable2" cacheId="23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D2:E11" firstHeaderRow="1" firstDataRow="1" firstDataCol="1"/>
  <pivotFields count="18">
    <pivotField showAll="0"/>
    <pivotField numFmtId="14" showAll="0"/>
    <pivotField axis="axisRow" showAll="0">
      <items count="9">
        <item x="6"/>
        <item x="0"/>
        <item x="1"/>
        <item x="4"/>
        <item x="2"/>
        <item x="3"/>
        <item x="5"/>
        <item x="7"/>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9">
    <i>
      <x/>
    </i>
    <i>
      <x v="1"/>
    </i>
    <i>
      <x v="2"/>
    </i>
    <i>
      <x v="3"/>
    </i>
    <i>
      <x v="4"/>
    </i>
    <i>
      <x v="5"/>
    </i>
    <i>
      <x v="6"/>
    </i>
    <i>
      <x v="7"/>
    </i>
    <i t="grand">
      <x/>
    </i>
  </rowItems>
  <colItems count="1">
    <i/>
  </colItems>
  <dataFields count="1">
    <dataField name="Sum of Sales" fld="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 xr10:uid="{E60AB891-FD60-4004-A95C-4C18FB1D172C}" sourceName="Employee">
  <pivotTables>
    <pivotTable tabId="3" name="PivotTable2"/>
  </pivotTables>
  <data>
    <tabular pivotCacheId="2098301405">
      <items count="8">
        <i x="6" s="1"/>
        <i x="0" s="1"/>
        <i x="1" s="1"/>
        <i x="4" s="1"/>
        <i x="2" s="1"/>
        <i x="3" s="1"/>
        <i x="5"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xr10:uid="{1A89BC14-4DE3-4CDF-AE3F-C52FFA82BB99}" cache="Slicer_Employee" caption="Employe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0A085D-5064-468D-8B56-8CBFF985FB12}" name="Table1" displayName="Table1" ref="A1:R50" totalsRowShown="0">
  <autoFilter ref="A1:R50" xr:uid="{D40A085D-5064-468D-8B56-8CBFF985FB12}"/>
  <tableColumns count="18">
    <tableColumn id="1" xr3:uid="{EDD8DEBD-6A01-4E0A-9EF5-E9DFFFC26BC4}" name="Order ID"/>
    <tableColumn id="2" xr3:uid="{CACBEFE9-97B5-4E18-BFFA-9F88D7D38FFF}" name="Order Date" dataDxfId="2"/>
    <tableColumn id="3" xr3:uid="{EF4A5161-6F34-468C-98B4-5FF3AF7754F0}" name="Employee"/>
    <tableColumn id="4" xr3:uid="{52A6BA5F-3397-448A-B7B8-479CD38B7405}" name="Customer Name"/>
    <tableColumn id="5" xr3:uid="{17F9957C-A28D-469C-B7DC-AEFF6CC14AA2}" name="Category"/>
    <tableColumn id="6" xr3:uid="{48562C7E-C027-4C70-926F-2B65DBA0D0CF}" name="Product Name"/>
    <tableColumn id="7" xr3:uid="{FEDD6EBF-D88D-48DE-B291-C503409E413D}" name="Sales"/>
    <tableColumn id="17" xr3:uid="{5BA4B0A8-F794-4C57-835A-1A9E359E63E7}" name="NetSugarTax" dataDxfId="1">
      <calculatedColumnFormula>IF(OR(Table1[[#This Row],[Category]]="Beverages",Table1[[#This Row],[Category]]="Candy"),Table1[[#This Row],[Sales]]*'Dashboard-SugarTax'!$C$17/100,Table1[[#This Row],[Sales]])</calculatedColumnFormula>
    </tableColumn>
    <tableColumn id="8" xr3:uid="{18ABBD91-511C-46D6-90E3-CF036E06A5B5}" name="Payment Type"/>
    <tableColumn id="9" xr3:uid="{95C88D9F-1A0C-4F0F-93ED-2885A4950BE5}" name="CSAT"/>
    <tableColumn id="19" xr3:uid="{54F66A55-A932-441A-B236-978A3FDBE5EA}" name="SalesCSAT" dataDxfId="0">
      <calculatedColumnFormula>IF('Dashboard-SAT'!$M$5=1,IF(Table1[[#This Row],[CSAT]]&gt;0.8,Table1[[#This Row],[Sales]],0),IF(Table1[[#This Row],[CSAT]]&lt;=0.8,Table1[[#This Row],[Sales]],0))</calculatedColumnFormula>
    </tableColumn>
    <tableColumn id="10" xr3:uid="{A8D60550-14DC-4734-8A98-C7DB189CB067}" name="Last Name"/>
    <tableColumn id="11" xr3:uid="{F3752229-5A0C-47AF-9765-A09934F63CE6}" name="First Name"/>
    <tableColumn id="12" xr3:uid="{16D904A3-726D-4D08-B158-AAC37888A301}" name="Address"/>
    <tableColumn id="13" xr3:uid="{5949C264-00EA-490F-AC04-54CB4E06847B}" name="City"/>
    <tableColumn id="14" xr3:uid="{E9AAF327-38F6-48E1-AE05-25F709A853B6}" name="State/Province"/>
    <tableColumn id="15" xr3:uid="{2A2B4939-CA4F-48FF-8934-013E40BED31B}" name="Map Sales"/>
    <tableColumn id="16" xr3:uid="{7F53753C-7803-4D43-9C1F-B0FD811CF61D}" name="Quarter"/>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2D59EA6A-8EA3-4FB7-81F2-9AECC18DB42C}" sourceName="Order Date">
  <pivotTables>
    <pivotTable tabId="3" name="PivotTable2"/>
  </pivotTables>
  <state minimalRefreshVersion="6" lastRefreshVersion="6" pivotCacheId="2098301405" filterType="unknown">
    <bounds startDate="2015-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D9247DDF-3754-4A5D-95AB-E537472968C4}" cache="NativeTimeline_Order_Date" caption="Order Date" level="2" selectionLevel="2" scrollPosition="2015-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8696C-3300-4753-8A0C-D9054708D9F5}">
  <sheetPr codeName="Sheet2"/>
  <dimension ref="A1:R50"/>
  <sheetViews>
    <sheetView topLeftCell="A2" workbookViewId="0">
      <selection activeCell="C6" sqref="C6"/>
    </sheetView>
  </sheetViews>
  <sheetFormatPr defaultRowHeight="15" x14ac:dyDescent="0.25"/>
  <cols>
    <col min="1" max="1" width="10.5703125" customWidth="1"/>
    <col min="2" max="2" width="12.85546875" style="4" customWidth="1"/>
    <col min="3" max="3" width="19.7109375" bestFit="1" customWidth="1"/>
    <col min="4" max="4" width="17.42578125" customWidth="1"/>
    <col min="5" max="5" width="25" bestFit="1" customWidth="1"/>
    <col min="6" max="6" width="21" bestFit="1" customWidth="1"/>
    <col min="7" max="7" width="7.7109375" customWidth="1"/>
    <col min="8" max="8" width="14.42578125" bestFit="1" customWidth="1"/>
    <col min="9" max="9" width="15.7109375" customWidth="1"/>
    <col min="10" max="10" width="7.5703125" customWidth="1"/>
    <col min="11" max="11" width="10" customWidth="1"/>
    <col min="12" max="12" width="12.5703125" bestFit="1" customWidth="1"/>
    <col min="13" max="13" width="12.7109375" customWidth="1"/>
    <col min="14" max="14" width="14.28515625" bestFit="1" customWidth="1"/>
    <col min="15" max="15" width="12.5703125" bestFit="1" customWidth="1"/>
    <col min="16" max="16" width="16.28515625" customWidth="1"/>
    <col min="17" max="17" width="12" customWidth="1"/>
    <col min="18" max="18" width="10" customWidth="1"/>
  </cols>
  <sheetData>
    <row r="1" spans="1:18" x14ac:dyDescent="0.25">
      <c r="A1" t="s">
        <v>0</v>
      </c>
      <c r="B1" s="4" t="s">
        <v>1</v>
      </c>
      <c r="C1" t="s">
        <v>2</v>
      </c>
      <c r="D1" t="s">
        <v>3</v>
      </c>
      <c r="E1" t="s">
        <v>4</v>
      </c>
      <c r="F1" t="s">
        <v>5</v>
      </c>
      <c r="G1" t="s">
        <v>6</v>
      </c>
      <c r="H1" t="s">
        <v>140</v>
      </c>
      <c r="I1" t="s">
        <v>7</v>
      </c>
      <c r="J1" t="s">
        <v>8</v>
      </c>
      <c r="K1" t="s">
        <v>145</v>
      </c>
      <c r="L1" t="s">
        <v>9</v>
      </c>
      <c r="M1" t="s">
        <v>10</v>
      </c>
      <c r="N1" t="s">
        <v>11</v>
      </c>
      <c r="O1" t="s">
        <v>12</v>
      </c>
      <c r="P1" t="s">
        <v>13</v>
      </c>
      <c r="Q1" t="s">
        <v>14</v>
      </c>
      <c r="R1" t="s">
        <v>15</v>
      </c>
    </row>
    <row r="2" spans="1:18" x14ac:dyDescent="0.25">
      <c r="A2">
        <v>30</v>
      </c>
      <c r="B2" s="4">
        <v>42019</v>
      </c>
      <c r="C2" t="s">
        <v>16</v>
      </c>
      <c r="D2" t="s">
        <v>17</v>
      </c>
      <c r="E2" t="s">
        <v>18</v>
      </c>
      <c r="F2" t="s">
        <v>19</v>
      </c>
      <c r="G2">
        <v>1400</v>
      </c>
      <c r="H2">
        <f>IF(OR(Table1[[#This Row],[Category]]="Beverages",Table1[[#This Row],[Category]]="Candy"),Table1[[#This Row],[Sales]]*'Dashboard-SugarTax'!$C$17/100,Table1[[#This Row],[Sales]])</f>
        <v>1274</v>
      </c>
      <c r="I2" t="s">
        <v>20</v>
      </c>
      <c r="J2">
        <v>0.81</v>
      </c>
      <c r="K2">
        <f>IF('Dashboard-SAT'!$M$5=1,IF(Table1[[#This Row],[CSAT]]&gt;0.8,Table1[[#This Row],[Sales]],0),IF(Table1[[#This Row],[CSAT]]&lt;=0.8,Table1[[#This Row],[Sales]],0))</f>
        <v>0</v>
      </c>
      <c r="L2" t="s">
        <v>21</v>
      </c>
      <c r="M2" t="s">
        <v>22</v>
      </c>
      <c r="N2" t="s">
        <v>23</v>
      </c>
      <c r="O2" t="s">
        <v>24</v>
      </c>
      <c r="P2" t="s">
        <v>25</v>
      </c>
      <c r="Q2">
        <v>1400</v>
      </c>
      <c r="R2">
        <v>1</v>
      </c>
    </row>
    <row r="3" spans="1:18" x14ac:dyDescent="0.25">
      <c r="A3">
        <v>30</v>
      </c>
      <c r="B3" s="4">
        <v>42019</v>
      </c>
      <c r="C3" t="s">
        <v>16</v>
      </c>
      <c r="D3" t="s">
        <v>17</v>
      </c>
      <c r="E3" t="s">
        <v>26</v>
      </c>
      <c r="F3" t="s">
        <v>27</v>
      </c>
      <c r="G3">
        <v>105</v>
      </c>
      <c r="H3">
        <f>IF(OR(Table1[[#This Row],[Category]]="Beverages",Table1[[#This Row],[Category]]="Candy"),Table1[[#This Row],[Sales]]*'Dashboard-SugarTax'!$C$17/100,Table1[[#This Row],[Sales]])</f>
        <v>105</v>
      </c>
      <c r="I3" t="s">
        <v>20</v>
      </c>
      <c r="J3">
        <v>0.65</v>
      </c>
      <c r="K3">
        <f>IF('Dashboard-SAT'!$M$5=1,IF(Table1[[#This Row],[CSAT]]&gt;0.8,Table1[[#This Row],[Sales]],0),IF(Table1[[#This Row],[CSAT]]&lt;=0.8,Table1[[#This Row],[Sales]],0))</f>
        <v>105</v>
      </c>
      <c r="L3" t="s">
        <v>21</v>
      </c>
      <c r="M3" t="s">
        <v>22</v>
      </c>
      <c r="N3" t="s">
        <v>23</v>
      </c>
      <c r="O3" t="s">
        <v>24</v>
      </c>
      <c r="P3" t="s">
        <v>25</v>
      </c>
      <c r="Q3">
        <v>105</v>
      </c>
      <c r="R3">
        <v>1</v>
      </c>
    </row>
    <row r="4" spans="1:18" x14ac:dyDescent="0.25">
      <c r="A4">
        <v>31</v>
      </c>
      <c r="B4" s="4">
        <v>42024</v>
      </c>
      <c r="C4" t="s">
        <v>28</v>
      </c>
      <c r="D4" t="s">
        <v>29</v>
      </c>
      <c r="E4" t="s">
        <v>26</v>
      </c>
      <c r="F4" t="s">
        <v>30</v>
      </c>
      <c r="G4">
        <v>530</v>
      </c>
      <c r="H4">
        <f>IF(OR(Table1[[#This Row],[Category]]="Beverages",Table1[[#This Row],[Category]]="Candy"),Table1[[#This Row],[Sales]]*'Dashboard-SugarTax'!$C$17/100,Table1[[#This Row],[Sales]])</f>
        <v>530</v>
      </c>
      <c r="I4" t="s">
        <v>31</v>
      </c>
      <c r="J4">
        <v>0.97</v>
      </c>
      <c r="K4">
        <f>IF('Dashboard-SAT'!$M$5=1,IF(Table1[[#This Row],[CSAT]]&gt;0.8,Table1[[#This Row],[Sales]],0),IF(Table1[[#This Row],[CSAT]]&lt;=0.8,Table1[[#This Row],[Sales]],0))</f>
        <v>0</v>
      </c>
      <c r="L4" t="s">
        <v>32</v>
      </c>
      <c r="M4" t="s">
        <v>33</v>
      </c>
      <c r="N4" t="s">
        <v>34</v>
      </c>
      <c r="O4" t="s">
        <v>35</v>
      </c>
      <c r="P4" t="s">
        <v>36</v>
      </c>
      <c r="Q4">
        <v>530</v>
      </c>
      <c r="R4">
        <v>1</v>
      </c>
    </row>
    <row r="5" spans="1:18" x14ac:dyDescent="0.25">
      <c r="A5">
        <v>31</v>
      </c>
      <c r="B5" s="4">
        <v>42024</v>
      </c>
      <c r="C5" t="s">
        <v>28</v>
      </c>
      <c r="D5" t="s">
        <v>29</v>
      </c>
      <c r="E5" t="s">
        <v>26</v>
      </c>
      <c r="F5" t="s">
        <v>37</v>
      </c>
      <c r="G5">
        <v>300</v>
      </c>
      <c r="H5">
        <f>IF(OR(Table1[[#This Row],[Category]]="Beverages",Table1[[#This Row],[Category]]="Candy"),Table1[[#This Row],[Sales]]*'Dashboard-SugarTax'!$C$17/100,Table1[[#This Row],[Sales]])</f>
        <v>300</v>
      </c>
      <c r="I5" t="s">
        <v>31</v>
      </c>
      <c r="J5">
        <v>0.86</v>
      </c>
      <c r="K5">
        <f>IF('Dashboard-SAT'!$M$5=1,IF(Table1[[#This Row],[CSAT]]&gt;0.8,Table1[[#This Row],[Sales]],0),IF(Table1[[#This Row],[CSAT]]&lt;=0.8,Table1[[#This Row],[Sales]],0))</f>
        <v>0</v>
      </c>
      <c r="L5" t="s">
        <v>32</v>
      </c>
      <c r="M5" t="s">
        <v>33</v>
      </c>
      <c r="N5" t="s">
        <v>34</v>
      </c>
      <c r="O5" t="s">
        <v>35</v>
      </c>
      <c r="P5" t="s">
        <v>36</v>
      </c>
      <c r="Q5">
        <v>300</v>
      </c>
      <c r="R5">
        <v>1</v>
      </c>
    </row>
    <row r="6" spans="1:18" x14ac:dyDescent="0.25">
      <c r="A6">
        <v>31</v>
      </c>
      <c r="B6" s="4">
        <v>42024</v>
      </c>
      <c r="C6" t="s">
        <v>28</v>
      </c>
      <c r="D6" t="s">
        <v>29</v>
      </c>
      <c r="E6" t="s">
        <v>26</v>
      </c>
      <c r="F6" t="s">
        <v>27</v>
      </c>
      <c r="G6">
        <v>35</v>
      </c>
      <c r="H6">
        <f>IF(OR(Table1[[#This Row],[Category]]="Beverages",Table1[[#This Row],[Category]]="Candy"),Table1[[#This Row],[Sales]]*'Dashboard-SugarTax'!$C$17/100,Table1[[#This Row],[Sales]])</f>
        <v>35</v>
      </c>
      <c r="I6" t="s">
        <v>31</v>
      </c>
      <c r="J6">
        <v>0.66</v>
      </c>
      <c r="K6">
        <f>IF('Dashboard-SAT'!$M$5=1,IF(Table1[[#This Row],[CSAT]]&gt;0.8,Table1[[#This Row],[Sales]],0),IF(Table1[[#This Row],[CSAT]]&lt;=0.8,Table1[[#This Row],[Sales]],0))</f>
        <v>35</v>
      </c>
      <c r="L6" t="s">
        <v>32</v>
      </c>
      <c r="M6" t="s">
        <v>33</v>
      </c>
      <c r="N6" t="s">
        <v>34</v>
      </c>
      <c r="O6" t="s">
        <v>35</v>
      </c>
      <c r="P6" t="s">
        <v>36</v>
      </c>
      <c r="Q6">
        <v>35</v>
      </c>
      <c r="R6">
        <v>1</v>
      </c>
    </row>
    <row r="7" spans="1:18" x14ac:dyDescent="0.25">
      <c r="A7">
        <v>32</v>
      </c>
      <c r="B7" s="4">
        <v>42026</v>
      </c>
      <c r="C7" t="s">
        <v>38</v>
      </c>
      <c r="D7" t="s">
        <v>39</v>
      </c>
      <c r="E7" t="s">
        <v>18</v>
      </c>
      <c r="F7" t="s">
        <v>40</v>
      </c>
      <c r="G7">
        <v>270</v>
      </c>
      <c r="H7">
        <f>IF(OR(Table1[[#This Row],[Category]]="Beverages",Table1[[#This Row],[Category]]="Candy"),Table1[[#This Row],[Sales]]*'Dashboard-SugarTax'!$C$17/100,Table1[[#This Row],[Sales]])</f>
        <v>245.7</v>
      </c>
      <c r="I7" t="s">
        <v>31</v>
      </c>
      <c r="J7">
        <v>0.67</v>
      </c>
      <c r="K7">
        <f>IF('Dashboard-SAT'!$M$5=1,IF(Table1[[#This Row],[CSAT]]&gt;0.8,Table1[[#This Row],[Sales]],0),IF(Table1[[#This Row],[CSAT]]&lt;=0.8,Table1[[#This Row],[Sales]],0))</f>
        <v>270</v>
      </c>
      <c r="L7" t="s">
        <v>41</v>
      </c>
      <c r="M7" t="s">
        <v>42</v>
      </c>
      <c r="N7" t="s">
        <v>43</v>
      </c>
      <c r="O7" t="s">
        <v>24</v>
      </c>
      <c r="P7" t="s">
        <v>25</v>
      </c>
      <c r="Q7">
        <v>270</v>
      </c>
      <c r="R7">
        <v>1</v>
      </c>
    </row>
    <row r="8" spans="1:18" x14ac:dyDescent="0.25">
      <c r="A8">
        <v>32</v>
      </c>
      <c r="B8" s="4">
        <v>42026</v>
      </c>
      <c r="C8" t="s">
        <v>38</v>
      </c>
      <c r="D8" t="s">
        <v>39</v>
      </c>
      <c r="E8" t="s">
        <v>18</v>
      </c>
      <c r="F8" t="s">
        <v>44</v>
      </c>
      <c r="G8">
        <v>920</v>
      </c>
      <c r="H8">
        <f>IF(OR(Table1[[#This Row],[Category]]="Beverages",Table1[[#This Row],[Category]]="Candy"),Table1[[#This Row],[Sales]]*'Dashboard-SugarTax'!$C$17/100,Table1[[#This Row],[Sales]])</f>
        <v>837.2</v>
      </c>
      <c r="I8" t="s">
        <v>31</v>
      </c>
      <c r="J8">
        <v>1</v>
      </c>
      <c r="K8">
        <f>IF('Dashboard-SAT'!$M$5=1,IF(Table1[[#This Row],[CSAT]]&gt;0.8,Table1[[#This Row],[Sales]],0),IF(Table1[[#This Row],[CSAT]]&lt;=0.8,Table1[[#This Row],[Sales]],0))</f>
        <v>0</v>
      </c>
      <c r="L8" t="s">
        <v>41</v>
      </c>
      <c r="M8" t="s">
        <v>42</v>
      </c>
      <c r="N8" t="s">
        <v>43</v>
      </c>
      <c r="O8" t="s">
        <v>24</v>
      </c>
      <c r="P8" t="s">
        <v>25</v>
      </c>
      <c r="Q8">
        <v>920</v>
      </c>
      <c r="R8">
        <v>1</v>
      </c>
    </row>
    <row r="9" spans="1:18" x14ac:dyDescent="0.25">
      <c r="A9">
        <v>33</v>
      </c>
      <c r="B9" s="4">
        <v>42034</v>
      </c>
      <c r="C9" t="s">
        <v>45</v>
      </c>
      <c r="D9" t="s">
        <v>46</v>
      </c>
      <c r="E9" t="s">
        <v>47</v>
      </c>
      <c r="F9" t="s">
        <v>48</v>
      </c>
      <c r="G9">
        <v>276</v>
      </c>
      <c r="H9">
        <f>IF(OR(Table1[[#This Row],[Category]]="Beverages",Table1[[#This Row],[Category]]="Candy"),Table1[[#This Row],[Sales]]*'Dashboard-SugarTax'!$C$17/100,Table1[[#This Row],[Sales]])</f>
        <v>276</v>
      </c>
      <c r="I9" t="s">
        <v>31</v>
      </c>
      <c r="J9">
        <v>1</v>
      </c>
      <c r="K9">
        <f>IF('Dashboard-SAT'!$M$5=1,IF(Table1[[#This Row],[CSAT]]&gt;0.8,Table1[[#This Row],[Sales]],0),IF(Table1[[#This Row],[CSAT]]&lt;=0.8,Table1[[#This Row],[Sales]],0))</f>
        <v>0</v>
      </c>
      <c r="L9" t="s">
        <v>49</v>
      </c>
      <c r="M9" t="s">
        <v>50</v>
      </c>
      <c r="N9" t="s">
        <v>51</v>
      </c>
      <c r="O9" t="s">
        <v>52</v>
      </c>
      <c r="P9" t="s">
        <v>53</v>
      </c>
      <c r="Q9">
        <v>276</v>
      </c>
      <c r="R9">
        <v>1</v>
      </c>
    </row>
    <row r="10" spans="1:18" x14ac:dyDescent="0.25">
      <c r="A10">
        <v>34</v>
      </c>
      <c r="B10" s="4">
        <v>42041</v>
      </c>
      <c r="C10" t="s">
        <v>16</v>
      </c>
      <c r="D10" t="s">
        <v>29</v>
      </c>
      <c r="E10" t="s">
        <v>47</v>
      </c>
      <c r="F10" t="s">
        <v>48</v>
      </c>
      <c r="G10">
        <v>184</v>
      </c>
      <c r="H10">
        <f>IF(OR(Table1[[#This Row],[Category]]="Beverages",Table1[[#This Row],[Category]]="Candy"),Table1[[#This Row],[Sales]]*'Dashboard-SugarTax'!$C$17/100,Table1[[#This Row],[Sales]])</f>
        <v>184</v>
      </c>
      <c r="I10" t="s">
        <v>20</v>
      </c>
      <c r="J10">
        <v>0.74</v>
      </c>
      <c r="K10">
        <f>IF('Dashboard-SAT'!$M$5=1,IF(Table1[[#This Row],[CSAT]]&gt;0.8,Table1[[#This Row],[Sales]],0),IF(Table1[[#This Row],[CSAT]]&lt;=0.8,Table1[[#This Row],[Sales]],0))</f>
        <v>184</v>
      </c>
      <c r="L10" t="s">
        <v>32</v>
      </c>
      <c r="M10" t="s">
        <v>33</v>
      </c>
      <c r="N10" t="s">
        <v>34</v>
      </c>
      <c r="O10" t="s">
        <v>35</v>
      </c>
      <c r="P10" t="s">
        <v>36</v>
      </c>
      <c r="Q10">
        <v>184</v>
      </c>
      <c r="R10">
        <v>1</v>
      </c>
    </row>
    <row r="11" spans="1:18" x14ac:dyDescent="0.25">
      <c r="A11">
        <v>35</v>
      </c>
      <c r="B11" s="4">
        <v>42045</v>
      </c>
      <c r="C11" t="s">
        <v>28</v>
      </c>
      <c r="D11" t="s">
        <v>54</v>
      </c>
      <c r="E11" t="s">
        <v>55</v>
      </c>
      <c r="F11" t="s">
        <v>56</v>
      </c>
      <c r="G11">
        <v>127.5</v>
      </c>
      <c r="H11">
        <f>IF(OR(Table1[[#This Row],[Category]]="Beverages",Table1[[#This Row],[Category]]="Candy"),Table1[[#This Row],[Sales]]*'Dashboard-SugarTax'!$C$17/100,Table1[[#This Row],[Sales]])</f>
        <v>116.02500000000001</v>
      </c>
      <c r="I11" t="s">
        <v>20</v>
      </c>
      <c r="J11">
        <v>0.65</v>
      </c>
      <c r="K11">
        <f>IF('Dashboard-SAT'!$M$5=1,IF(Table1[[#This Row],[CSAT]]&gt;0.8,Table1[[#This Row],[Sales]],0),IF(Table1[[#This Row],[CSAT]]&lt;=0.8,Table1[[#This Row],[Sales]],0))</f>
        <v>127.5</v>
      </c>
      <c r="L11" t="s">
        <v>32</v>
      </c>
      <c r="M11" t="s">
        <v>57</v>
      </c>
      <c r="N11" t="s">
        <v>58</v>
      </c>
      <c r="O11" t="s">
        <v>59</v>
      </c>
      <c r="P11" t="s">
        <v>60</v>
      </c>
      <c r="Q11">
        <v>127.5</v>
      </c>
      <c r="R11">
        <v>1</v>
      </c>
    </row>
    <row r="12" spans="1:18" x14ac:dyDescent="0.25">
      <c r="A12">
        <v>36</v>
      </c>
      <c r="B12" s="4">
        <v>42058</v>
      </c>
      <c r="C12" t="s">
        <v>38</v>
      </c>
      <c r="D12" t="s">
        <v>61</v>
      </c>
      <c r="E12" t="s">
        <v>62</v>
      </c>
      <c r="F12" t="s">
        <v>63</v>
      </c>
      <c r="G12">
        <v>1930</v>
      </c>
      <c r="H12">
        <f>IF(OR(Table1[[#This Row],[Category]]="Beverages",Table1[[#This Row],[Category]]="Candy"),Table1[[#This Row],[Sales]]*'Dashboard-SugarTax'!$C$17/100,Table1[[#This Row],[Sales]])</f>
        <v>1930</v>
      </c>
      <c r="I12" t="s">
        <v>64</v>
      </c>
      <c r="J12">
        <v>0.8</v>
      </c>
      <c r="K12">
        <f>IF('Dashboard-SAT'!$M$5=1,IF(Table1[[#This Row],[CSAT]]&gt;0.8,Table1[[#This Row],[Sales]],0),IF(Table1[[#This Row],[CSAT]]&lt;=0.8,Table1[[#This Row],[Sales]],0))</f>
        <v>1930</v>
      </c>
      <c r="L12" t="s">
        <v>65</v>
      </c>
      <c r="M12" t="s">
        <v>66</v>
      </c>
      <c r="N12" t="s">
        <v>67</v>
      </c>
      <c r="O12" t="s">
        <v>68</v>
      </c>
      <c r="P12" t="s">
        <v>69</v>
      </c>
      <c r="Q12">
        <v>1930</v>
      </c>
      <c r="R12">
        <v>1</v>
      </c>
    </row>
    <row r="13" spans="1:18" x14ac:dyDescent="0.25">
      <c r="A13">
        <v>37</v>
      </c>
      <c r="B13" s="4">
        <v>42069</v>
      </c>
      <c r="C13" t="s">
        <v>70</v>
      </c>
      <c r="D13" t="s">
        <v>71</v>
      </c>
      <c r="E13" t="s">
        <v>72</v>
      </c>
      <c r="F13" t="s">
        <v>73</v>
      </c>
      <c r="G13">
        <v>680</v>
      </c>
      <c r="H13">
        <f>IF(OR(Table1[[#This Row],[Category]]="Beverages",Table1[[#This Row],[Category]]="Candy"),Table1[[#This Row],[Sales]]*'Dashboard-SugarTax'!$C$17/100,Table1[[#This Row],[Sales]])</f>
        <v>680</v>
      </c>
      <c r="I13" t="s">
        <v>31</v>
      </c>
      <c r="J13">
        <v>0.63</v>
      </c>
      <c r="K13">
        <f>IF('Dashboard-SAT'!$M$5=1,IF(Table1[[#This Row],[CSAT]]&gt;0.8,Table1[[#This Row],[Sales]],0),IF(Table1[[#This Row],[CSAT]]&lt;=0.8,Table1[[#This Row],[Sales]],0))</f>
        <v>680</v>
      </c>
      <c r="L13" t="s">
        <v>74</v>
      </c>
      <c r="M13" t="s">
        <v>75</v>
      </c>
      <c r="N13" t="s">
        <v>76</v>
      </c>
      <c r="O13" t="s">
        <v>77</v>
      </c>
      <c r="P13" t="s">
        <v>78</v>
      </c>
      <c r="Q13">
        <v>680</v>
      </c>
      <c r="R13">
        <v>1</v>
      </c>
    </row>
    <row r="14" spans="1:18" x14ac:dyDescent="0.25">
      <c r="A14">
        <v>38</v>
      </c>
      <c r="B14" s="4">
        <v>42073</v>
      </c>
      <c r="C14" t="s">
        <v>16</v>
      </c>
      <c r="D14" t="s">
        <v>79</v>
      </c>
      <c r="E14" t="s">
        <v>18</v>
      </c>
      <c r="F14" t="s">
        <v>44</v>
      </c>
      <c r="G14">
        <v>13800</v>
      </c>
      <c r="H14">
        <f>IF(OR(Table1[[#This Row],[Category]]="Beverages",Table1[[#This Row],[Category]]="Candy"),Table1[[#This Row],[Sales]]*'Dashboard-SugarTax'!$C$17/100,Table1[[#This Row],[Sales]])</f>
        <v>12558</v>
      </c>
      <c r="I14" t="s">
        <v>20</v>
      </c>
      <c r="J14">
        <v>0.69</v>
      </c>
      <c r="K14">
        <f>IF('Dashboard-SAT'!$M$5=1,IF(Table1[[#This Row],[CSAT]]&gt;0.8,Table1[[#This Row],[Sales]],0),IF(Table1[[#This Row],[CSAT]]&lt;=0.8,Table1[[#This Row],[Sales]],0))</f>
        <v>13800</v>
      </c>
      <c r="L14" t="s">
        <v>80</v>
      </c>
      <c r="M14" t="s">
        <v>81</v>
      </c>
      <c r="N14" t="s">
        <v>82</v>
      </c>
      <c r="O14" t="s">
        <v>83</v>
      </c>
      <c r="P14" t="s">
        <v>84</v>
      </c>
      <c r="Q14">
        <v>13800</v>
      </c>
      <c r="R14">
        <v>1</v>
      </c>
    </row>
    <row r="15" spans="1:18" x14ac:dyDescent="0.25">
      <c r="A15">
        <v>39</v>
      </c>
      <c r="B15" s="4">
        <v>42085</v>
      </c>
      <c r="C15" t="s">
        <v>28</v>
      </c>
      <c r="D15" t="s">
        <v>46</v>
      </c>
      <c r="E15" t="s">
        <v>55</v>
      </c>
      <c r="F15" t="s">
        <v>56</v>
      </c>
      <c r="G15">
        <v>1275</v>
      </c>
      <c r="H15">
        <f>IF(OR(Table1[[#This Row],[Category]]="Beverages",Table1[[#This Row],[Category]]="Candy"),Table1[[#This Row],[Sales]]*'Dashboard-SugarTax'!$C$17/100,Table1[[#This Row],[Sales]])</f>
        <v>1160.25</v>
      </c>
      <c r="I15" t="s">
        <v>20</v>
      </c>
      <c r="J15">
        <v>0.76</v>
      </c>
      <c r="K15">
        <f>IF('Dashboard-SAT'!$M$5=1,IF(Table1[[#This Row],[CSAT]]&gt;0.8,Table1[[#This Row],[Sales]],0),IF(Table1[[#This Row],[CSAT]]&lt;=0.8,Table1[[#This Row],[Sales]],0))</f>
        <v>1275</v>
      </c>
      <c r="L15" t="s">
        <v>49</v>
      </c>
      <c r="M15" t="s">
        <v>50</v>
      </c>
      <c r="N15" t="s">
        <v>51</v>
      </c>
      <c r="O15" t="s">
        <v>52</v>
      </c>
      <c r="P15" t="s">
        <v>53</v>
      </c>
      <c r="Q15">
        <v>1275</v>
      </c>
      <c r="R15">
        <v>1</v>
      </c>
    </row>
    <row r="16" spans="1:18" x14ac:dyDescent="0.25">
      <c r="A16">
        <v>42</v>
      </c>
      <c r="B16" s="4">
        <v>42087</v>
      </c>
      <c r="C16" t="s">
        <v>85</v>
      </c>
      <c r="D16" t="s">
        <v>86</v>
      </c>
      <c r="E16" t="s">
        <v>47</v>
      </c>
      <c r="F16" t="s">
        <v>48</v>
      </c>
      <c r="G16">
        <v>92</v>
      </c>
      <c r="H16">
        <f>IF(OR(Table1[[#This Row],[Category]]="Beverages",Table1[[#This Row],[Category]]="Candy"),Table1[[#This Row],[Sales]]*'Dashboard-SugarTax'!$C$17/100,Table1[[#This Row],[Sales]])</f>
        <v>92</v>
      </c>
      <c r="J16">
        <v>0.66</v>
      </c>
      <c r="K16">
        <f>IF('Dashboard-SAT'!$M$5=1,IF(Table1[[#This Row],[CSAT]]&gt;0.8,Table1[[#This Row],[Sales]],0),IF(Table1[[#This Row],[CSAT]]&lt;=0.8,Table1[[#This Row],[Sales]],0))</f>
        <v>92</v>
      </c>
      <c r="L16" t="s">
        <v>87</v>
      </c>
      <c r="M16" t="s">
        <v>88</v>
      </c>
      <c r="N16" t="s">
        <v>89</v>
      </c>
      <c r="O16" t="s">
        <v>90</v>
      </c>
      <c r="P16" t="s">
        <v>91</v>
      </c>
      <c r="Q16">
        <v>92</v>
      </c>
      <c r="R16">
        <v>1</v>
      </c>
    </row>
    <row r="17" spans="1:18" x14ac:dyDescent="0.25">
      <c r="A17">
        <v>40</v>
      </c>
      <c r="B17" s="4">
        <v>42087</v>
      </c>
      <c r="C17" t="s">
        <v>38</v>
      </c>
      <c r="D17" t="s">
        <v>86</v>
      </c>
      <c r="E17" t="s">
        <v>18</v>
      </c>
      <c r="F17" t="s">
        <v>92</v>
      </c>
      <c r="G17">
        <v>598</v>
      </c>
      <c r="H17">
        <f>IF(OR(Table1[[#This Row],[Category]]="Beverages",Table1[[#This Row],[Category]]="Candy"),Table1[[#This Row],[Sales]]*'Dashboard-SugarTax'!$C$17/100,Table1[[#This Row],[Sales]])</f>
        <v>544.17999999999995</v>
      </c>
      <c r="I17" t="s">
        <v>31</v>
      </c>
      <c r="J17">
        <v>0.92</v>
      </c>
      <c r="K17">
        <f>IF('Dashboard-SAT'!$M$5=1,IF(Table1[[#This Row],[CSAT]]&gt;0.8,Table1[[#This Row],[Sales]],0),IF(Table1[[#This Row],[CSAT]]&lt;=0.8,Table1[[#This Row],[Sales]],0))</f>
        <v>0</v>
      </c>
      <c r="L17" t="s">
        <v>87</v>
      </c>
      <c r="M17" t="s">
        <v>88</v>
      </c>
      <c r="N17" t="s">
        <v>89</v>
      </c>
      <c r="O17" t="s">
        <v>90</v>
      </c>
      <c r="P17" t="s">
        <v>91</v>
      </c>
      <c r="Q17">
        <v>598</v>
      </c>
      <c r="R17">
        <v>1</v>
      </c>
    </row>
    <row r="18" spans="1:18" x14ac:dyDescent="0.25">
      <c r="A18">
        <v>42</v>
      </c>
      <c r="B18" s="4">
        <v>42087</v>
      </c>
      <c r="C18" t="s">
        <v>85</v>
      </c>
      <c r="D18" t="s">
        <v>86</v>
      </c>
      <c r="E18" t="s">
        <v>93</v>
      </c>
      <c r="F18" t="s">
        <v>94</v>
      </c>
      <c r="G18">
        <v>220</v>
      </c>
      <c r="H18">
        <f>IF(OR(Table1[[#This Row],[Category]]="Beverages",Table1[[#This Row],[Category]]="Candy"),Table1[[#This Row],[Sales]]*'Dashboard-SugarTax'!$C$17/100,Table1[[#This Row],[Sales]])</f>
        <v>220</v>
      </c>
      <c r="J18">
        <v>0.73</v>
      </c>
      <c r="K18">
        <f>IF('Dashboard-SAT'!$M$5=1,IF(Table1[[#This Row],[CSAT]]&gt;0.8,Table1[[#This Row],[Sales]],0),IF(Table1[[#This Row],[CSAT]]&lt;=0.8,Table1[[#This Row],[Sales]],0))</f>
        <v>220</v>
      </c>
      <c r="L18" t="s">
        <v>87</v>
      </c>
      <c r="M18" t="s">
        <v>88</v>
      </c>
      <c r="N18" t="s">
        <v>89</v>
      </c>
      <c r="O18" t="s">
        <v>90</v>
      </c>
      <c r="P18" t="s">
        <v>91</v>
      </c>
      <c r="Q18">
        <v>220</v>
      </c>
      <c r="R18">
        <v>1</v>
      </c>
    </row>
    <row r="19" spans="1:18" x14ac:dyDescent="0.25">
      <c r="A19">
        <v>42</v>
      </c>
      <c r="B19" s="4">
        <v>42087</v>
      </c>
      <c r="C19" t="s">
        <v>85</v>
      </c>
      <c r="D19" t="s">
        <v>86</v>
      </c>
      <c r="E19" t="s">
        <v>95</v>
      </c>
      <c r="F19" t="s">
        <v>96</v>
      </c>
      <c r="G19">
        <v>250</v>
      </c>
      <c r="H19">
        <f>IF(OR(Table1[[#This Row],[Category]]="Beverages",Table1[[#This Row],[Category]]="Candy"),Table1[[#This Row],[Sales]]*'Dashboard-SugarTax'!$C$17/100,Table1[[#This Row],[Sales]])</f>
        <v>250</v>
      </c>
      <c r="J19">
        <v>0.96</v>
      </c>
      <c r="K19">
        <f>IF('Dashboard-SAT'!$M$5=1,IF(Table1[[#This Row],[CSAT]]&gt;0.8,Table1[[#This Row],[Sales]],0),IF(Table1[[#This Row],[CSAT]]&lt;=0.8,Table1[[#This Row],[Sales]],0))</f>
        <v>0</v>
      </c>
      <c r="L19" t="s">
        <v>87</v>
      </c>
      <c r="M19" t="s">
        <v>88</v>
      </c>
      <c r="N19" t="s">
        <v>89</v>
      </c>
      <c r="O19" t="s">
        <v>90</v>
      </c>
      <c r="P19" t="s">
        <v>91</v>
      </c>
      <c r="Q19">
        <v>250</v>
      </c>
      <c r="R19">
        <v>1</v>
      </c>
    </row>
    <row r="20" spans="1:18" x14ac:dyDescent="0.25">
      <c r="A20">
        <v>56</v>
      </c>
      <c r="B20" s="4">
        <v>42097</v>
      </c>
      <c r="C20" t="s">
        <v>97</v>
      </c>
      <c r="D20" t="s">
        <v>71</v>
      </c>
      <c r="E20" t="s">
        <v>55</v>
      </c>
      <c r="F20" t="s">
        <v>56</v>
      </c>
      <c r="G20">
        <v>127.5</v>
      </c>
      <c r="H20">
        <f>IF(OR(Table1[[#This Row],[Category]]="Beverages",Table1[[#This Row],[Category]]="Candy"),Table1[[#This Row],[Sales]]*'Dashboard-SugarTax'!$C$17/100,Table1[[#This Row],[Sales]])</f>
        <v>116.02500000000001</v>
      </c>
      <c r="I20" t="s">
        <v>20</v>
      </c>
      <c r="J20">
        <v>0.82</v>
      </c>
      <c r="K20">
        <f>IF('Dashboard-SAT'!$M$5=1,IF(Table1[[#This Row],[CSAT]]&gt;0.8,Table1[[#This Row],[Sales]],0),IF(Table1[[#This Row],[CSAT]]&lt;=0.8,Table1[[#This Row],[Sales]],0))</f>
        <v>0</v>
      </c>
      <c r="L20" t="s">
        <v>74</v>
      </c>
      <c r="M20" t="s">
        <v>75</v>
      </c>
      <c r="N20" t="s">
        <v>76</v>
      </c>
      <c r="O20" t="s">
        <v>77</v>
      </c>
      <c r="P20" t="s">
        <v>78</v>
      </c>
      <c r="Q20">
        <v>127.5</v>
      </c>
      <c r="R20">
        <v>2</v>
      </c>
    </row>
    <row r="21" spans="1:18" x14ac:dyDescent="0.25">
      <c r="A21">
        <v>55</v>
      </c>
      <c r="B21" s="4">
        <v>42099</v>
      </c>
      <c r="C21" t="s">
        <v>85</v>
      </c>
      <c r="D21" t="s">
        <v>54</v>
      </c>
      <c r="E21" t="s">
        <v>18</v>
      </c>
      <c r="F21" t="s">
        <v>19</v>
      </c>
      <c r="G21">
        <v>1218</v>
      </c>
      <c r="H21">
        <f>IF(OR(Table1[[#This Row],[Category]]="Beverages",Table1[[#This Row],[Category]]="Candy"),Table1[[#This Row],[Sales]]*'Dashboard-SugarTax'!$C$17/100,Table1[[#This Row],[Sales]])</f>
        <v>1108.3800000000001</v>
      </c>
      <c r="I21" t="s">
        <v>20</v>
      </c>
      <c r="J21">
        <v>0.67</v>
      </c>
      <c r="K21">
        <f>IF('Dashboard-SAT'!$M$5=1,IF(Table1[[#This Row],[CSAT]]&gt;0.8,Table1[[#This Row],[Sales]],0),IF(Table1[[#This Row],[CSAT]]&lt;=0.8,Table1[[#This Row],[Sales]],0))</f>
        <v>1218</v>
      </c>
      <c r="L21" t="s">
        <v>32</v>
      </c>
      <c r="M21" t="s">
        <v>57</v>
      </c>
      <c r="N21" t="s">
        <v>58</v>
      </c>
      <c r="O21" t="s">
        <v>59</v>
      </c>
      <c r="P21" t="s">
        <v>60</v>
      </c>
      <c r="Q21">
        <v>1218</v>
      </c>
      <c r="R21">
        <v>2</v>
      </c>
    </row>
    <row r="22" spans="1:18" x14ac:dyDescent="0.25">
      <c r="A22">
        <v>48</v>
      </c>
      <c r="B22" s="4">
        <v>42099</v>
      </c>
      <c r="C22" t="s">
        <v>38</v>
      </c>
      <c r="D22" t="s">
        <v>46</v>
      </c>
      <c r="E22" t="s">
        <v>47</v>
      </c>
      <c r="F22" t="s">
        <v>48</v>
      </c>
      <c r="G22">
        <v>230</v>
      </c>
      <c r="H22">
        <f>IF(OR(Table1[[#This Row],[Category]]="Beverages",Table1[[#This Row],[Category]]="Candy"),Table1[[#This Row],[Sales]]*'Dashboard-SugarTax'!$C$17/100,Table1[[#This Row],[Sales]])</f>
        <v>230</v>
      </c>
      <c r="I22" t="s">
        <v>20</v>
      </c>
      <c r="J22">
        <v>0.88</v>
      </c>
      <c r="K22">
        <f>IF('Dashboard-SAT'!$M$5=1,IF(Table1[[#This Row],[CSAT]]&gt;0.8,Table1[[#This Row],[Sales]],0),IF(Table1[[#This Row],[CSAT]]&lt;=0.8,Table1[[#This Row],[Sales]],0))</f>
        <v>0</v>
      </c>
      <c r="L22" t="s">
        <v>49</v>
      </c>
      <c r="M22" t="s">
        <v>50</v>
      </c>
      <c r="N22" t="s">
        <v>51</v>
      </c>
      <c r="O22" t="s">
        <v>52</v>
      </c>
      <c r="P22" t="s">
        <v>53</v>
      </c>
      <c r="Q22">
        <v>230</v>
      </c>
      <c r="R22">
        <v>2</v>
      </c>
    </row>
    <row r="23" spans="1:18" x14ac:dyDescent="0.25">
      <c r="A23">
        <v>48</v>
      </c>
      <c r="B23" s="4">
        <v>42099</v>
      </c>
      <c r="C23" t="s">
        <v>38</v>
      </c>
      <c r="D23" t="s">
        <v>46</v>
      </c>
      <c r="E23" t="s">
        <v>72</v>
      </c>
      <c r="F23" t="s">
        <v>73</v>
      </c>
      <c r="G23">
        <v>1000</v>
      </c>
      <c r="H23">
        <f>IF(OR(Table1[[#This Row],[Category]]="Beverages",Table1[[#This Row],[Category]]="Candy"),Table1[[#This Row],[Sales]]*'Dashboard-SugarTax'!$C$17/100,Table1[[#This Row],[Sales]])</f>
        <v>1000</v>
      </c>
      <c r="I23" t="s">
        <v>20</v>
      </c>
      <c r="J23">
        <v>0.64</v>
      </c>
      <c r="K23">
        <f>IF('Dashboard-SAT'!$M$5=1,IF(Table1[[#This Row],[CSAT]]&gt;0.8,Table1[[#This Row],[Sales]],0),IF(Table1[[#This Row],[CSAT]]&lt;=0.8,Table1[[#This Row],[Sales]],0))</f>
        <v>1000</v>
      </c>
      <c r="L23" t="s">
        <v>49</v>
      </c>
      <c r="M23" t="s">
        <v>50</v>
      </c>
      <c r="N23" t="s">
        <v>51</v>
      </c>
      <c r="O23" t="s">
        <v>52</v>
      </c>
      <c r="P23" t="s">
        <v>53</v>
      </c>
      <c r="Q23">
        <v>1000</v>
      </c>
      <c r="R23">
        <v>2</v>
      </c>
    </row>
    <row r="24" spans="1:18" x14ac:dyDescent="0.25">
      <c r="A24">
        <v>46</v>
      </c>
      <c r="B24" s="4">
        <v>42099</v>
      </c>
      <c r="C24" t="s">
        <v>98</v>
      </c>
      <c r="D24" t="s">
        <v>99</v>
      </c>
      <c r="E24" t="s">
        <v>100</v>
      </c>
      <c r="F24" t="s">
        <v>101</v>
      </c>
      <c r="G24">
        <v>1740</v>
      </c>
      <c r="H24">
        <f>IF(OR(Table1[[#This Row],[Category]]="Beverages",Table1[[#This Row],[Category]]="Candy"),Table1[[#This Row],[Sales]]*'Dashboard-SugarTax'!$C$17/100,Table1[[#This Row],[Sales]])</f>
        <v>1740</v>
      </c>
      <c r="I24" t="s">
        <v>20</v>
      </c>
      <c r="J24">
        <v>0.92</v>
      </c>
      <c r="K24">
        <f>IF('Dashboard-SAT'!$M$5=1,IF(Table1[[#This Row],[CSAT]]&gt;0.8,Table1[[#This Row],[Sales]],0),IF(Table1[[#This Row],[CSAT]]&lt;=0.8,Table1[[#This Row],[Sales]],0))</f>
        <v>0</v>
      </c>
      <c r="L24" t="s">
        <v>102</v>
      </c>
      <c r="M24" t="s">
        <v>103</v>
      </c>
      <c r="N24" t="s">
        <v>104</v>
      </c>
      <c r="O24" t="s">
        <v>105</v>
      </c>
      <c r="P24" t="s">
        <v>106</v>
      </c>
      <c r="Q24">
        <v>1740</v>
      </c>
      <c r="R24">
        <v>2</v>
      </c>
    </row>
    <row r="25" spans="1:18" x14ac:dyDescent="0.25">
      <c r="A25">
        <v>46</v>
      </c>
      <c r="B25" s="4">
        <v>42099</v>
      </c>
      <c r="C25" t="s">
        <v>98</v>
      </c>
      <c r="D25" t="s">
        <v>99</v>
      </c>
      <c r="E25" t="s">
        <v>107</v>
      </c>
      <c r="F25" t="s">
        <v>108</v>
      </c>
      <c r="G25">
        <v>1950</v>
      </c>
      <c r="H25">
        <f>IF(OR(Table1[[#This Row],[Category]]="Beverages",Table1[[#This Row],[Category]]="Candy"),Table1[[#This Row],[Sales]]*'Dashboard-SugarTax'!$C$17/100,Table1[[#This Row],[Sales]])</f>
        <v>1950</v>
      </c>
      <c r="I25" t="s">
        <v>20</v>
      </c>
      <c r="J25">
        <v>0.64</v>
      </c>
      <c r="K25">
        <f>IF('Dashboard-SAT'!$M$5=1,IF(Table1[[#This Row],[CSAT]]&gt;0.8,Table1[[#This Row],[Sales]],0),IF(Table1[[#This Row],[CSAT]]&lt;=0.8,Table1[[#This Row],[Sales]],0))</f>
        <v>1950</v>
      </c>
      <c r="L25" t="s">
        <v>102</v>
      </c>
      <c r="M25" t="s">
        <v>103</v>
      </c>
      <c r="N25" t="s">
        <v>104</v>
      </c>
      <c r="O25" t="s">
        <v>105</v>
      </c>
      <c r="P25" t="s">
        <v>106</v>
      </c>
      <c r="Q25">
        <v>1950</v>
      </c>
      <c r="R25">
        <v>2</v>
      </c>
    </row>
    <row r="26" spans="1:18" x14ac:dyDescent="0.25">
      <c r="A26">
        <v>50</v>
      </c>
      <c r="B26" s="4">
        <v>42099</v>
      </c>
      <c r="C26" t="s">
        <v>16</v>
      </c>
      <c r="D26" t="s">
        <v>109</v>
      </c>
      <c r="E26" t="s">
        <v>47</v>
      </c>
      <c r="F26" t="s">
        <v>110</v>
      </c>
      <c r="G26">
        <v>200</v>
      </c>
      <c r="H26">
        <f>IF(OR(Table1[[#This Row],[Category]]="Beverages",Table1[[#This Row],[Category]]="Candy"),Table1[[#This Row],[Sales]]*'Dashboard-SugarTax'!$C$17/100,Table1[[#This Row],[Sales]])</f>
        <v>200</v>
      </c>
      <c r="I26" t="s">
        <v>64</v>
      </c>
      <c r="J26">
        <v>0.8</v>
      </c>
      <c r="K26">
        <f>IF('Dashboard-SAT'!$M$5=1,IF(Table1[[#This Row],[CSAT]]&gt;0.8,Table1[[#This Row],[Sales]],0),IF(Table1[[#This Row],[CSAT]]&lt;=0.8,Table1[[#This Row],[Sales]],0))</f>
        <v>200</v>
      </c>
      <c r="L26" t="s">
        <v>111</v>
      </c>
      <c r="M26" t="s">
        <v>42</v>
      </c>
      <c r="N26" t="s">
        <v>112</v>
      </c>
      <c r="O26" t="s">
        <v>90</v>
      </c>
      <c r="P26" t="s">
        <v>91</v>
      </c>
      <c r="Q26">
        <v>200</v>
      </c>
      <c r="R26">
        <v>2</v>
      </c>
    </row>
    <row r="27" spans="1:18" x14ac:dyDescent="0.25">
      <c r="A27">
        <v>51</v>
      </c>
      <c r="B27" s="4">
        <v>42099</v>
      </c>
      <c r="C27" t="s">
        <v>16</v>
      </c>
      <c r="D27" t="s">
        <v>113</v>
      </c>
      <c r="E27" t="s">
        <v>114</v>
      </c>
      <c r="F27" t="s">
        <v>115</v>
      </c>
      <c r="G27">
        <v>552</v>
      </c>
      <c r="H27">
        <f>IF(OR(Table1[[#This Row],[Category]]="Beverages",Table1[[#This Row],[Category]]="Candy"),Table1[[#This Row],[Sales]]*'Dashboard-SugarTax'!$C$17/100,Table1[[#This Row],[Sales]])</f>
        <v>552</v>
      </c>
      <c r="I27" t="s">
        <v>31</v>
      </c>
      <c r="J27">
        <v>1</v>
      </c>
      <c r="K27">
        <f>IF('Dashboard-SAT'!$M$5=1,IF(Table1[[#This Row],[CSAT]]&gt;0.8,Table1[[#This Row],[Sales]],0),IF(Table1[[#This Row],[CSAT]]&lt;=0.8,Table1[[#This Row],[Sales]],0))</f>
        <v>0</v>
      </c>
      <c r="L27" t="s">
        <v>116</v>
      </c>
      <c r="M27" t="s">
        <v>117</v>
      </c>
      <c r="N27" t="s">
        <v>118</v>
      </c>
      <c r="O27" t="s">
        <v>119</v>
      </c>
      <c r="P27" t="s">
        <v>120</v>
      </c>
      <c r="Q27">
        <v>552</v>
      </c>
      <c r="R27">
        <v>2</v>
      </c>
    </row>
    <row r="28" spans="1:18" x14ac:dyDescent="0.25">
      <c r="A28">
        <v>51</v>
      </c>
      <c r="B28" s="4">
        <v>42099</v>
      </c>
      <c r="C28" t="s">
        <v>16</v>
      </c>
      <c r="D28" t="s">
        <v>113</v>
      </c>
      <c r="E28" t="s">
        <v>121</v>
      </c>
      <c r="F28" t="s">
        <v>122</v>
      </c>
      <c r="G28">
        <v>533.75</v>
      </c>
      <c r="H28">
        <f>IF(OR(Table1[[#This Row],[Category]]="Beverages",Table1[[#This Row],[Category]]="Candy"),Table1[[#This Row],[Sales]]*'Dashboard-SugarTax'!$C$17/100,Table1[[#This Row],[Sales]])</f>
        <v>533.75</v>
      </c>
      <c r="I28" t="s">
        <v>31</v>
      </c>
      <c r="J28">
        <v>0.95</v>
      </c>
      <c r="K28">
        <f>IF('Dashboard-SAT'!$M$5=1,IF(Table1[[#This Row],[CSAT]]&gt;0.8,Table1[[#This Row],[Sales]],0),IF(Table1[[#This Row],[CSAT]]&lt;=0.8,Table1[[#This Row],[Sales]],0))</f>
        <v>0</v>
      </c>
      <c r="L28" t="s">
        <v>116</v>
      </c>
      <c r="M28" t="s">
        <v>117</v>
      </c>
      <c r="N28" t="s">
        <v>118</v>
      </c>
      <c r="O28" t="s">
        <v>119</v>
      </c>
      <c r="P28" t="s">
        <v>120</v>
      </c>
      <c r="Q28">
        <v>533.75</v>
      </c>
      <c r="R28">
        <v>2</v>
      </c>
    </row>
    <row r="29" spans="1:18" x14ac:dyDescent="0.25">
      <c r="A29">
        <v>51</v>
      </c>
      <c r="B29" s="4">
        <v>42099</v>
      </c>
      <c r="C29" t="s">
        <v>16</v>
      </c>
      <c r="D29" t="s">
        <v>113</v>
      </c>
      <c r="E29" t="s">
        <v>62</v>
      </c>
      <c r="F29" t="s">
        <v>63</v>
      </c>
      <c r="G29">
        <v>289.5</v>
      </c>
      <c r="H29">
        <f>IF(OR(Table1[[#This Row],[Category]]="Beverages",Table1[[#This Row],[Category]]="Candy"),Table1[[#This Row],[Sales]]*'Dashboard-SugarTax'!$C$17/100,Table1[[#This Row],[Sales]])</f>
        <v>289.5</v>
      </c>
      <c r="I29" t="s">
        <v>31</v>
      </c>
      <c r="J29">
        <v>0.66</v>
      </c>
      <c r="K29">
        <f>IF('Dashboard-SAT'!$M$5=1,IF(Table1[[#This Row],[CSAT]]&gt;0.8,Table1[[#This Row],[Sales]],0),IF(Table1[[#This Row],[CSAT]]&lt;=0.8,Table1[[#This Row],[Sales]],0))</f>
        <v>289.5</v>
      </c>
      <c r="L29" t="s">
        <v>116</v>
      </c>
      <c r="M29" t="s">
        <v>117</v>
      </c>
      <c r="N29" t="s">
        <v>118</v>
      </c>
      <c r="O29" t="s">
        <v>119</v>
      </c>
      <c r="P29" t="s">
        <v>120</v>
      </c>
      <c r="Q29">
        <v>289.5</v>
      </c>
      <c r="R29">
        <v>2</v>
      </c>
    </row>
    <row r="30" spans="1:18" x14ac:dyDescent="0.25">
      <c r="A30">
        <v>45</v>
      </c>
      <c r="B30" s="4">
        <v>42101</v>
      </c>
      <c r="C30" t="s">
        <v>85</v>
      </c>
      <c r="D30" t="s">
        <v>79</v>
      </c>
      <c r="E30" t="s">
        <v>114</v>
      </c>
      <c r="F30" t="s">
        <v>115</v>
      </c>
      <c r="G30">
        <v>920</v>
      </c>
      <c r="H30">
        <f>IF(OR(Table1[[#This Row],[Category]]="Beverages",Table1[[#This Row],[Category]]="Candy"),Table1[[#This Row],[Sales]]*'Dashboard-SugarTax'!$C$17/100,Table1[[#This Row],[Sales]])</f>
        <v>920</v>
      </c>
      <c r="I30" t="s">
        <v>31</v>
      </c>
      <c r="J30">
        <v>0.97</v>
      </c>
      <c r="K30">
        <f>IF('Dashboard-SAT'!$M$5=1,IF(Table1[[#This Row],[CSAT]]&gt;0.8,Table1[[#This Row],[Sales]],0),IF(Table1[[#This Row],[CSAT]]&lt;=0.8,Table1[[#This Row],[Sales]],0))</f>
        <v>0</v>
      </c>
      <c r="L30" t="s">
        <v>80</v>
      </c>
      <c r="M30" t="s">
        <v>81</v>
      </c>
      <c r="N30" t="s">
        <v>82</v>
      </c>
      <c r="O30" t="s">
        <v>83</v>
      </c>
      <c r="P30" t="s">
        <v>84</v>
      </c>
      <c r="Q30">
        <v>920</v>
      </c>
      <c r="R30">
        <v>2</v>
      </c>
    </row>
    <row r="31" spans="1:18" x14ac:dyDescent="0.25">
      <c r="A31">
        <v>45</v>
      </c>
      <c r="B31" s="4">
        <v>42101</v>
      </c>
      <c r="C31" t="s">
        <v>85</v>
      </c>
      <c r="D31" t="s">
        <v>79</v>
      </c>
      <c r="E31" t="s">
        <v>62</v>
      </c>
      <c r="F31" t="s">
        <v>63</v>
      </c>
      <c r="G31">
        <v>482.5</v>
      </c>
      <c r="H31">
        <f>IF(OR(Table1[[#This Row],[Category]]="Beverages",Table1[[#This Row],[Category]]="Candy"),Table1[[#This Row],[Sales]]*'Dashboard-SugarTax'!$C$17/100,Table1[[#This Row],[Sales]])</f>
        <v>482.5</v>
      </c>
      <c r="I31" t="s">
        <v>31</v>
      </c>
      <c r="J31">
        <v>0.97</v>
      </c>
      <c r="K31">
        <f>IF('Dashboard-SAT'!$M$5=1,IF(Table1[[#This Row],[CSAT]]&gt;0.8,Table1[[#This Row],[Sales]],0),IF(Table1[[#This Row],[CSAT]]&lt;=0.8,Table1[[#This Row],[Sales]],0))</f>
        <v>0</v>
      </c>
      <c r="L31" t="s">
        <v>80</v>
      </c>
      <c r="M31" t="s">
        <v>81</v>
      </c>
      <c r="N31" t="s">
        <v>82</v>
      </c>
      <c r="O31" t="s">
        <v>83</v>
      </c>
      <c r="P31" t="s">
        <v>84</v>
      </c>
      <c r="Q31">
        <v>482.5</v>
      </c>
      <c r="R31">
        <v>2</v>
      </c>
    </row>
    <row r="32" spans="1:18" x14ac:dyDescent="0.25">
      <c r="A32">
        <v>47</v>
      </c>
      <c r="B32" s="4">
        <v>42102</v>
      </c>
      <c r="C32" t="s">
        <v>45</v>
      </c>
      <c r="D32" t="s">
        <v>71</v>
      </c>
      <c r="E32" t="s">
        <v>18</v>
      </c>
      <c r="F32" t="s">
        <v>19</v>
      </c>
      <c r="G32">
        <v>4200</v>
      </c>
      <c r="H32">
        <f>IF(OR(Table1[[#This Row],[Category]]="Beverages",Table1[[#This Row],[Category]]="Candy"),Table1[[#This Row],[Sales]]*'Dashboard-SugarTax'!$C$17/100,Table1[[#This Row],[Sales]])</f>
        <v>3822</v>
      </c>
      <c r="I32" t="s">
        <v>31</v>
      </c>
      <c r="J32">
        <v>0.81</v>
      </c>
      <c r="K32">
        <f>IF('Dashboard-SAT'!$M$5=1,IF(Table1[[#This Row],[CSAT]]&gt;0.8,Table1[[#This Row],[Sales]],0),IF(Table1[[#This Row],[CSAT]]&lt;=0.8,Table1[[#This Row],[Sales]],0))</f>
        <v>0</v>
      </c>
      <c r="L32" t="s">
        <v>74</v>
      </c>
      <c r="M32" t="s">
        <v>75</v>
      </c>
      <c r="N32" t="s">
        <v>76</v>
      </c>
      <c r="O32" t="s">
        <v>77</v>
      </c>
      <c r="P32" t="s">
        <v>78</v>
      </c>
      <c r="Q32">
        <v>4200</v>
      </c>
      <c r="R32">
        <v>2</v>
      </c>
    </row>
    <row r="33" spans="1:18" x14ac:dyDescent="0.25">
      <c r="A33">
        <v>58</v>
      </c>
      <c r="B33" s="4">
        <v>42116</v>
      </c>
      <c r="C33" t="s">
        <v>28</v>
      </c>
      <c r="D33" t="s">
        <v>29</v>
      </c>
      <c r="E33" t="s">
        <v>123</v>
      </c>
      <c r="F33" t="s">
        <v>124</v>
      </c>
      <c r="G33">
        <v>280</v>
      </c>
      <c r="H33">
        <f>IF(OR(Table1[[#This Row],[Category]]="Beverages",Table1[[#This Row],[Category]]="Candy"),Table1[[#This Row],[Sales]]*'Dashboard-SugarTax'!$C$17/100,Table1[[#This Row],[Sales]])</f>
        <v>280</v>
      </c>
      <c r="I33" t="s">
        <v>31</v>
      </c>
      <c r="J33">
        <v>0.66</v>
      </c>
      <c r="K33">
        <f>IF('Dashboard-SAT'!$M$5=1,IF(Table1[[#This Row],[CSAT]]&gt;0.8,Table1[[#This Row],[Sales]],0),IF(Table1[[#This Row],[CSAT]]&lt;=0.8,Table1[[#This Row],[Sales]],0))</f>
        <v>280</v>
      </c>
      <c r="L33" t="s">
        <v>32</v>
      </c>
      <c r="M33" t="s">
        <v>33</v>
      </c>
      <c r="N33" t="s">
        <v>34</v>
      </c>
      <c r="O33" t="s">
        <v>35</v>
      </c>
      <c r="P33" t="s">
        <v>36</v>
      </c>
      <c r="Q33">
        <v>280</v>
      </c>
      <c r="R33">
        <v>2</v>
      </c>
    </row>
    <row r="34" spans="1:18" x14ac:dyDescent="0.25">
      <c r="A34">
        <v>58</v>
      </c>
      <c r="B34" s="4">
        <v>42116</v>
      </c>
      <c r="C34" t="s">
        <v>28</v>
      </c>
      <c r="D34" t="s">
        <v>29</v>
      </c>
      <c r="E34" t="s">
        <v>95</v>
      </c>
      <c r="F34" t="s">
        <v>125</v>
      </c>
      <c r="G34">
        <v>3240</v>
      </c>
      <c r="H34">
        <f>IF(OR(Table1[[#This Row],[Category]]="Beverages",Table1[[#This Row],[Category]]="Candy"),Table1[[#This Row],[Sales]]*'Dashboard-SugarTax'!$C$17/100,Table1[[#This Row],[Sales]])</f>
        <v>3240</v>
      </c>
      <c r="I34" t="s">
        <v>31</v>
      </c>
      <c r="J34">
        <v>0.72</v>
      </c>
      <c r="K34">
        <f>IF('Dashboard-SAT'!$M$5=1,IF(Table1[[#This Row],[CSAT]]&gt;0.8,Table1[[#This Row],[Sales]],0),IF(Table1[[#This Row],[CSAT]]&lt;=0.8,Table1[[#This Row],[Sales]],0))</f>
        <v>3240</v>
      </c>
      <c r="L34" t="s">
        <v>32</v>
      </c>
      <c r="M34" t="s">
        <v>33</v>
      </c>
      <c r="N34" t="s">
        <v>34</v>
      </c>
      <c r="O34" t="s">
        <v>35</v>
      </c>
      <c r="P34" t="s">
        <v>36</v>
      </c>
      <c r="Q34">
        <v>3240</v>
      </c>
      <c r="R34">
        <v>2</v>
      </c>
    </row>
    <row r="35" spans="1:18" x14ac:dyDescent="0.25">
      <c r="A35">
        <v>63</v>
      </c>
      <c r="B35" s="4">
        <v>42119</v>
      </c>
      <c r="C35" t="s">
        <v>38</v>
      </c>
      <c r="D35" t="s">
        <v>61</v>
      </c>
      <c r="E35" t="s">
        <v>93</v>
      </c>
      <c r="F35" t="s">
        <v>126</v>
      </c>
      <c r="G35">
        <v>500</v>
      </c>
      <c r="H35">
        <f>IF(OR(Table1[[#This Row],[Category]]="Beverages",Table1[[#This Row],[Category]]="Candy"),Table1[[#This Row],[Sales]]*'Dashboard-SugarTax'!$C$17/100,Table1[[#This Row],[Sales]])</f>
        <v>500</v>
      </c>
      <c r="I35" t="s">
        <v>64</v>
      </c>
      <c r="J35">
        <v>0.64</v>
      </c>
      <c r="K35">
        <f>IF('Dashboard-SAT'!$M$5=1,IF(Table1[[#This Row],[CSAT]]&gt;0.8,Table1[[#This Row],[Sales]],0),IF(Table1[[#This Row],[CSAT]]&lt;=0.8,Table1[[#This Row],[Sales]],0))</f>
        <v>500</v>
      </c>
      <c r="L35" t="s">
        <v>65</v>
      </c>
      <c r="M35" t="s">
        <v>66</v>
      </c>
      <c r="N35" t="s">
        <v>67</v>
      </c>
      <c r="O35" t="s">
        <v>68</v>
      </c>
      <c r="P35" t="s">
        <v>69</v>
      </c>
      <c r="Q35">
        <v>500</v>
      </c>
      <c r="R35">
        <v>2</v>
      </c>
    </row>
    <row r="36" spans="1:18" x14ac:dyDescent="0.25">
      <c r="A36">
        <v>63</v>
      </c>
      <c r="B36" s="4">
        <v>42119</v>
      </c>
      <c r="C36" t="s">
        <v>38</v>
      </c>
      <c r="D36" t="s">
        <v>61</v>
      </c>
      <c r="E36" t="s">
        <v>72</v>
      </c>
      <c r="F36" t="s">
        <v>73</v>
      </c>
      <c r="G36">
        <v>120</v>
      </c>
      <c r="H36">
        <f>IF(OR(Table1[[#This Row],[Category]]="Beverages",Table1[[#This Row],[Category]]="Candy"),Table1[[#This Row],[Sales]]*'Dashboard-SugarTax'!$C$17/100,Table1[[#This Row],[Sales]])</f>
        <v>120</v>
      </c>
      <c r="I36" t="s">
        <v>64</v>
      </c>
      <c r="J36">
        <v>0.66</v>
      </c>
      <c r="K36">
        <f>IF('Dashboard-SAT'!$M$5=1,IF(Table1[[#This Row],[CSAT]]&gt;0.8,Table1[[#This Row],[Sales]],0),IF(Table1[[#This Row],[CSAT]]&lt;=0.8,Table1[[#This Row],[Sales]],0))</f>
        <v>120</v>
      </c>
      <c r="L36" t="s">
        <v>65</v>
      </c>
      <c r="M36" t="s">
        <v>66</v>
      </c>
      <c r="N36" t="s">
        <v>67</v>
      </c>
      <c r="O36" t="s">
        <v>68</v>
      </c>
      <c r="P36" t="s">
        <v>69</v>
      </c>
      <c r="Q36">
        <v>120</v>
      </c>
      <c r="R36">
        <v>2</v>
      </c>
    </row>
    <row r="37" spans="1:18" x14ac:dyDescent="0.25">
      <c r="A37">
        <v>60</v>
      </c>
      <c r="B37" s="4">
        <v>42124</v>
      </c>
      <c r="C37" t="s">
        <v>45</v>
      </c>
      <c r="D37" t="s">
        <v>46</v>
      </c>
      <c r="E37" t="s">
        <v>100</v>
      </c>
      <c r="F37" t="s">
        <v>101</v>
      </c>
      <c r="G37">
        <v>1392</v>
      </c>
      <c r="H37">
        <f>IF(OR(Table1[[#This Row],[Category]]="Beverages",Table1[[#This Row],[Category]]="Candy"),Table1[[#This Row],[Sales]]*'Dashboard-SugarTax'!$C$17/100,Table1[[#This Row],[Sales]])</f>
        <v>1392</v>
      </c>
      <c r="I37" t="s">
        <v>31</v>
      </c>
      <c r="J37">
        <v>0.8</v>
      </c>
      <c r="K37">
        <f>IF('Dashboard-SAT'!$M$5=1,IF(Table1[[#This Row],[CSAT]]&gt;0.8,Table1[[#This Row],[Sales]],0),IF(Table1[[#This Row],[CSAT]]&lt;=0.8,Table1[[#This Row],[Sales]],0))</f>
        <v>1392</v>
      </c>
      <c r="L37" t="s">
        <v>49</v>
      </c>
      <c r="M37" t="s">
        <v>50</v>
      </c>
      <c r="N37" t="s">
        <v>51</v>
      </c>
      <c r="O37" t="s">
        <v>52</v>
      </c>
      <c r="P37" t="s">
        <v>53</v>
      </c>
      <c r="Q37">
        <v>1392</v>
      </c>
      <c r="R37">
        <v>2</v>
      </c>
    </row>
    <row r="38" spans="1:18" x14ac:dyDescent="0.25">
      <c r="A38">
        <v>71</v>
      </c>
      <c r="B38" s="4">
        <v>42148</v>
      </c>
      <c r="C38" t="s">
        <v>85</v>
      </c>
      <c r="D38" t="s">
        <v>127</v>
      </c>
      <c r="E38" t="s">
        <v>114</v>
      </c>
      <c r="F38" t="s">
        <v>115</v>
      </c>
      <c r="G38">
        <v>736</v>
      </c>
      <c r="H38">
        <f>IF(OR(Table1[[#This Row],[Category]]="Beverages",Table1[[#This Row],[Category]]="Candy"),Table1[[#This Row],[Sales]]*'Dashboard-SugarTax'!$C$17/100,Table1[[#This Row],[Sales]])</f>
        <v>736</v>
      </c>
      <c r="J38">
        <v>0.92</v>
      </c>
      <c r="K38">
        <f>IF('Dashboard-SAT'!$M$5=1,IF(Table1[[#This Row],[CSAT]]&gt;0.8,Table1[[#This Row],[Sales]],0),IF(Table1[[#This Row],[CSAT]]&lt;=0.8,Table1[[#This Row],[Sales]],0))</f>
        <v>0</v>
      </c>
      <c r="L38" t="s">
        <v>128</v>
      </c>
      <c r="M38" t="s">
        <v>129</v>
      </c>
      <c r="N38" t="s">
        <v>130</v>
      </c>
      <c r="O38" t="s">
        <v>131</v>
      </c>
      <c r="P38" t="s">
        <v>132</v>
      </c>
      <c r="Q38">
        <v>736</v>
      </c>
      <c r="R38">
        <v>2</v>
      </c>
    </row>
    <row r="39" spans="1:18" x14ac:dyDescent="0.25">
      <c r="A39">
        <v>67</v>
      </c>
      <c r="B39" s="4">
        <v>42148</v>
      </c>
      <c r="C39" t="s">
        <v>38</v>
      </c>
      <c r="D39" t="s">
        <v>86</v>
      </c>
      <c r="E39" t="s">
        <v>26</v>
      </c>
      <c r="F39" t="s">
        <v>133</v>
      </c>
      <c r="G39">
        <v>200</v>
      </c>
      <c r="H39">
        <f>IF(OR(Table1[[#This Row],[Category]]="Beverages",Table1[[#This Row],[Category]]="Candy"),Table1[[#This Row],[Sales]]*'Dashboard-SugarTax'!$C$17/100,Table1[[#This Row],[Sales]])</f>
        <v>200</v>
      </c>
      <c r="I39" t="s">
        <v>31</v>
      </c>
      <c r="J39">
        <v>0.63</v>
      </c>
      <c r="K39">
        <f>IF('Dashboard-SAT'!$M$5=1,IF(Table1[[#This Row],[CSAT]]&gt;0.8,Table1[[#This Row],[Sales]],0),IF(Table1[[#This Row],[CSAT]]&lt;=0.8,Table1[[#This Row],[Sales]],0))</f>
        <v>200</v>
      </c>
      <c r="L39" t="s">
        <v>87</v>
      </c>
      <c r="M39" t="s">
        <v>88</v>
      </c>
      <c r="N39" t="s">
        <v>89</v>
      </c>
      <c r="O39" t="s">
        <v>90</v>
      </c>
      <c r="P39" t="s">
        <v>91</v>
      </c>
      <c r="Q39">
        <v>200</v>
      </c>
      <c r="R39">
        <v>2</v>
      </c>
    </row>
    <row r="40" spans="1:18" x14ac:dyDescent="0.25">
      <c r="A40">
        <v>69</v>
      </c>
      <c r="B40" s="4">
        <v>42148</v>
      </c>
      <c r="C40" t="s">
        <v>85</v>
      </c>
      <c r="D40" t="s">
        <v>86</v>
      </c>
      <c r="E40" t="s">
        <v>26</v>
      </c>
      <c r="F40" t="s">
        <v>27</v>
      </c>
      <c r="G40">
        <v>52.5</v>
      </c>
      <c r="H40">
        <f>IF(OR(Table1[[#This Row],[Category]]="Beverages",Table1[[#This Row],[Category]]="Candy"),Table1[[#This Row],[Sales]]*'Dashboard-SugarTax'!$C$17/100,Table1[[#This Row],[Sales]])</f>
        <v>52.5</v>
      </c>
      <c r="J40">
        <v>0.86</v>
      </c>
      <c r="K40">
        <f>IF('Dashboard-SAT'!$M$5=1,IF(Table1[[#This Row],[CSAT]]&gt;0.8,Table1[[#This Row],[Sales]],0),IF(Table1[[#This Row],[CSAT]]&lt;=0.8,Table1[[#This Row],[Sales]],0))</f>
        <v>0</v>
      </c>
      <c r="L40" t="s">
        <v>87</v>
      </c>
      <c r="M40" t="s">
        <v>88</v>
      </c>
      <c r="N40" t="s">
        <v>89</v>
      </c>
      <c r="O40" t="s">
        <v>90</v>
      </c>
      <c r="P40" t="s">
        <v>91</v>
      </c>
      <c r="Q40">
        <v>52.5</v>
      </c>
      <c r="R40">
        <v>2</v>
      </c>
    </row>
    <row r="41" spans="1:18" x14ac:dyDescent="0.25">
      <c r="A41">
        <v>70</v>
      </c>
      <c r="B41" s="4">
        <v>42148</v>
      </c>
      <c r="C41" t="s">
        <v>85</v>
      </c>
      <c r="D41" t="s">
        <v>134</v>
      </c>
      <c r="E41" t="s">
        <v>72</v>
      </c>
      <c r="F41" t="s">
        <v>73</v>
      </c>
      <c r="G41">
        <v>800</v>
      </c>
      <c r="H41">
        <f>IF(OR(Table1[[#This Row],[Category]]="Beverages",Table1[[#This Row],[Category]]="Candy"),Table1[[#This Row],[Sales]]*'Dashboard-SugarTax'!$C$17/100,Table1[[#This Row],[Sales]])</f>
        <v>800</v>
      </c>
      <c r="J41">
        <v>0.8</v>
      </c>
      <c r="K41">
        <f>IF('Dashboard-SAT'!$M$5=1,IF(Table1[[#This Row],[CSAT]]&gt;0.8,Table1[[#This Row],[Sales]],0),IF(Table1[[#This Row],[CSAT]]&lt;=0.8,Table1[[#This Row],[Sales]],0))</f>
        <v>800</v>
      </c>
      <c r="L41" t="s">
        <v>135</v>
      </c>
      <c r="M41" t="s">
        <v>136</v>
      </c>
      <c r="N41" t="s">
        <v>137</v>
      </c>
      <c r="O41" t="s">
        <v>119</v>
      </c>
      <c r="P41" t="s">
        <v>120</v>
      </c>
      <c r="Q41">
        <v>800</v>
      </c>
      <c r="R41">
        <v>2</v>
      </c>
    </row>
    <row r="42" spans="1:18" x14ac:dyDescent="0.25">
      <c r="A42">
        <v>78</v>
      </c>
      <c r="B42" s="4">
        <v>42160</v>
      </c>
      <c r="C42" t="s">
        <v>85</v>
      </c>
      <c r="D42" t="s">
        <v>54</v>
      </c>
      <c r="E42" t="s">
        <v>138</v>
      </c>
      <c r="F42" t="s">
        <v>139</v>
      </c>
      <c r="G42">
        <v>1560</v>
      </c>
      <c r="H42">
        <f>IF(OR(Table1[[#This Row],[Category]]="Beverages",Table1[[#This Row],[Category]]="Candy"),Table1[[#This Row],[Sales]]*'Dashboard-SugarTax'!$C$17/100,Table1[[#This Row],[Sales]])</f>
        <v>1560</v>
      </c>
      <c r="I42" t="s">
        <v>20</v>
      </c>
      <c r="J42">
        <v>0.69</v>
      </c>
      <c r="K42">
        <f>IF('Dashboard-SAT'!$M$5=1,IF(Table1[[#This Row],[CSAT]]&gt;0.8,Table1[[#This Row],[Sales]],0),IF(Table1[[#This Row],[CSAT]]&lt;=0.8,Table1[[#This Row],[Sales]],0))</f>
        <v>1560</v>
      </c>
      <c r="L42" t="s">
        <v>32</v>
      </c>
      <c r="M42" t="s">
        <v>57</v>
      </c>
      <c r="N42" t="s">
        <v>58</v>
      </c>
      <c r="O42" t="s">
        <v>59</v>
      </c>
      <c r="P42" t="s">
        <v>60</v>
      </c>
      <c r="Q42">
        <v>1560</v>
      </c>
      <c r="R42">
        <v>2</v>
      </c>
    </row>
    <row r="43" spans="1:18" x14ac:dyDescent="0.25">
      <c r="A43">
        <v>75</v>
      </c>
      <c r="B43" s="4">
        <v>42160</v>
      </c>
      <c r="C43" t="s">
        <v>38</v>
      </c>
      <c r="D43" t="s">
        <v>46</v>
      </c>
      <c r="E43" t="s">
        <v>55</v>
      </c>
      <c r="F43" t="s">
        <v>56</v>
      </c>
      <c r="G43">
        <v>510</v>
      </c>
      <c r="H43">
        <f>IF(OR(Table1[[#This Row],[Category]]="Beverages",Table1[[#This Row],[Category]]="Candy"),Table1[[#This Row],[Sales]]*'Dashboard-SugarTax'!$C$17/100,Table1[[#This Row],[Sales]])</f>
        <v>464.1</v>
      </c>
      <c r="I43" t="s">
        <v>20</v>
      </c>
      <c r="J43">
        <v>0.72</v>
      </c>
      <c r="K43">
        <f>IF('Dashboard-SAT'!$M$5=1,IF(Table1[[#This Row],[CSAT]]&gt;0.8,Table1[[#This Row],[Sales]],0),IF(Table1[[#This Row],[CSAT]]&lt;=0.8,Table1[[#This Row],[Sales]],0))</f>
        <v>510</v>
      </c>
      <c r="L43" t="s">
        <v>49</v>
      </c>
      <c r="M43" t="s">
        <v>50</v>
      </c>
      <c r="N43" t="s">
        <v>51</v>
      </c>
      <c r="O43" t="s">
        <v>52</v>
      </c>
      <c r="P43" t="s">
        <v>53</v>
      </c>
      <c r="Q43">
        <v>510</v>
      </c>
      <c r="R43">
        <v>2</v>
      </c>
    </row>
    <row r="44" spans="1:18" x14ac:dyDescent="0.25">
      <c r="A44">
        <v>73</v>
      </c>
      <c r="B44" s="4">
        <v>42160</v>
      </c>
      <c r="C44" t="s">
        <v>98</v>
      </c>
      <c r="D44" t="s">
        <v>99</v>
      </c>
      <c r="E44" t="s">
        <v>62</v>
      </c>
      <c r="F44" t="s">
        <v>63</v>
      </c>
      <c r="G44">
        <v>96.5</v>
      </c>
      <c r="H44">
        <f>IF(OR(Table1[[#This Row],[Category]]="Beverages",Table1[[#This Row],[Category]]="Candy"),Table1[[#This Row],[Sales]]*'Dashboard-SugarTax'!$C$17/100,Table1[[#This Row],[Sales]])</f>
        <v>96.5</v>
      </c>
      <c r="I44" t="s">
        <v>20</v>
      </c>
      <c r="J44">
        <v>0.65</v>
      </c>
      <c r="K44">
        <f>IF('Dashboard-SAT'!$M$5=1,IF(Table1[[#This Row],[CSAT]]&gt;0.8,Table1[[#This Row],[Sales]],0),IF(Table1[[#This Row],[CSAT]]&lt;=0.8,Table1[[#This Row],[Sales]],0))</f>
        <v>96.5</v>
      </c>
      <c r="L44" t="s">
        <v>102</v>
      </c>
      <c r="M44" t="s">
        <v>103</v>
      </c>
      <c r="N44" t="s">
        <v>104</v>
      </c>
      <c r="O44" t="s">
        <v>105</v>
      </c>
      <c r="P44" t="s">
        <v>106</v>
      </c>
      <c r="Q44">
        <v>96.5</v>
      </c>
      <c r="R44">
        <v>2</v>
      </c>
    </row>
    <row r="45" spans="1:18" x14ac:dyDescent="0.25">
      <c r="A45">
        <v>76</v>
      </c>
      <c r="B45" s="4">
        <v>42160</v>
      </c>
      <c r="C45" t="s">
        <v>16</v>
      </c>
      <c r="D45" t="s">
        <v>109</v>
      </c>
      <c r="E45" t="s">
        <v>93</v>
      </c>
      <c r="F45" t="s">
        <v>94</v>
      </c>
      <c r="G45">
        <v>660</v>
      </c>
      <c r="H45">
        <f>IF(OR(Table1[[#This Row],[Category]]="Beverages",Table1[[#This Row],[Category]]="Candy"),Table1[[#This Row],[Sales]]*'Dashboard-SugarTax'!$C$17/100,Table1[[#This Row],[Sales]])</f>
        <v>660</v>
      </c>
      <c r="I45" t="s">
        <v>64</v>
      </c>
      <c r="J45">
        <v>0.95</v>
      </c>
      <c r="K45">
        <f>IF('Dashboard-SAT'!$M$5=1,IF(Table1[[#This Row],[CSAT]]&gt;0.8,Table1[[#This Row],[Sales]],0),IF(Table1[[#This Row],[CSAT]]&lt;=0.8,Table1[[#This Row],[Sales]],0))</f>
        <v>0</v>
      </c>
      <c r="L45" t="s">
        <v>111</v>
      </c>
      <c r="M45" t="s">
        <v>42</v>
      </c>
      <c r="N45" t="s">
        <v>112</v>
      </c>
      <c r="O45" t="s">
        <v>90</v>
      </c>
      <c r="P45" t="s">
        <v>91</v>
      </c>
      <c r="Q45">
        <v>660</v>
      </c>
      <c r="R45">
        <v>2</v>
      </c>
    </row>
    <row r="46" spans="1:18" x14ac:dyDescent="0.25">
      <c r="A46">
        <v>77</v>
      </c>
      <c r="B46" s="4">
        <v>42160</v>
      </c>
      <c r="C46" t="s">
        <v>16</v>
      </c>
      <c r="D46" t="s">
        <v>113</v>
      </c>
      <c r="E46" t="s">
        <v>95</v>
      </c>
      <c r="F46" t="s">
        <v>96</v>
      </c>
      <c r="G46">
        <v>2250</v>
      </c>
      <c r="H46">
        <f>IF(OR(Table1[[#This Row],[Category]]="Beverages",Table1[[#This Row],[Category]]="Candy"),Table1[[#This Row],[Sales]]*'Dashboard-SugarTax'!$C$17/100,Table1[[#This Row],[Sales]])</f>
        <v>2250</v>
      </c>
      <c r="I46" t="s">
        <v>31</v>
      </c>
      <c r="J46">
        <v>0.85</v>
      </c>
      <c r="K46">
        <f>IF('Dashboard-SAT'!$M$5=1,IF(Table1[[#This Row],[CSAT]]&gt;0.8,Table1[[#This Row],[Sales]],0),IF(Table1[[#This Row],[CSAT]]&lt;=0.8,Table1[[#This Row],[Sales]],0))</f>
        <v>0</v>
      </c>
      <c r="L46" t="s">
        <v>116</v>
      </c>
      <c r="M46" t="s">
        <v>117</v>
      </c>
      <c r="N46" t="s">
        <v>118</v>
      </c>
      <c r="O46" t="s">
        <v>119</v>
      </c>
      <c r="P46" t="s">
        <v>120</v>
      </c>
      <c r="Q46">
        <v>2250</v>
      </c>
      <c r="R46">
        <v>2</v>
      </c>
    </row>
    <row r="47" spans="1:18" x14ac:dyDescent="0.25">
      <c r="A47">
        <v>72</v>
      </c>
      <c r="B47" s="4">
        <v>42162</v>
      </c>
      <c r="C47" t="s">
        <v>85</v>
      </c>
      <c r="D47" t="s">
        <v>79</v>
      </c>
      <c r="E47" t="s">
        <v>18</v>
      </c>
      <c r="F47" t="s">
        <v>44</v>
      </c>
      <c r="G47">
        <v>230</v>
      </c>
      <c r="H47">
        <f>IF(OR(Table1[[#This Row],[Category]]="Beverages",Table1[[#This Row],[Category]]="Candy"),Table1[[#This Row],[Sales]]*'Dashboard-SugarTax'!$C$17/100,Table1[[#This Row],[Sales]])</f>
        <v>209.3</v>
      </c>
      <c r="I47" t="s">
        <v>31</v>
      </c>
      <c r="J47">
        <v>0.96</v>
      </c>
      <c r="K47">
        <f>IF('Dashboard-SAT'!$M$5=1,IF(Table1[[#This Row],[CSAT]]&gt;0.8,Table1[[#This Row],[Sales]],0),IF(Table1[[#This Row],[CSAT]]&lt;=0.8,Table1[[#This Row],[Sales]],0))</f>
        <v>0</v>
      </c>
      <c r="L47" t="s">
        <v>80</v>
      </c>
      <c r="M47" t="s">
        <v>81</v>
      </c>
      <c r="N47" t="s">
        <v>82</v>
      </c>
      <c r="O47" t="s">
        <v>83</v>
      </c>
      <c r="P47" t="s">
        <v>84</v>
      </c>
      <c r="Q47">
        <v>230</v>
      </c>
      <c r="R47">
        <v>2</v>
      </c>
    </row>
    <row r="48" spans="1:18" x14ac:dyDescent="0.25">
      <c r="A48">
        <v>74</v>
      </c>
      <c r="B48" s="4">
        <v>42163</v>
      </c>
      <c r="C48" t="s">
        <v>45</v>
      </c>
      <c r="D48" t="s">
        <v>71</v>
      </c>
      <c r="E48" t="s">
        <v>55</v>
      </c>
      <c r="F48" t="s">
        <v>56</v>
      </c>
      <c r="G48">
        <v>510</v>
      </c>
      <c r="H48">
        <f>IF(OR(Table1[[#This Row],[Category]]="Beverages",Table1[[#This Row],[Category]]="Candy"),Table1[[#This Row],[Sales]]*'Dashboard-SugarTax'!$C$17/100,Table1[[#This Row],[Sales]])</f>
        <v>464.1</v>
      </c>
      <c r="I48" t="s">
        <v>31</v>
      </c>
      <c r="J48">
        <v>0.92</v>
      </c>
      <c r="K48">
        <f>IF('Dashboard-SAT'!$M$5=1,IF(Table1[[#This Row],[CSAT]]&gt;0.8,Table1[[#This Row],[Sales]],0),IF(Table1[[#This Row],[CSAT]]&lt;=0.8,Table1[[#This Row],[Sales]],0))</f>
        <v>0</v>
      </c>
      <c r="L48" t="s">
        <v>74</v>
      </c>
      <c r="M48" t="s">
        <v>75</v>
      </c>
      <c r="N48" t="s">
        <v>76</v>
      </c>
      <c r="O48" t="s">
        <v>77</v>
      </c>
      <c r="P48" t="s">
        <v>78</v>
      </c>
      <c r="Q48">
        <v>510</v>
      </c>
      <c r="R48">
        <v>2</v>
      </c>
    </row>
    <row r="49" spans="1:18" x14ac:dyDescent="0.25">
      <c r="A49">
        <v>79</v>
      </c>
      <c r="B49" s="4">
        <v>42178</v>
      </c>
      <c r="C49" t="s">
        <v>97</v>
      </c>
      <c r="D49" t="s">
        <v>71</v>
      </c>
      <c r="E49" t="s">
        <v>26</v>
      </c>
      <c r="F49" t="s">
        <v>30</v>
      </c>
      <c r="G49">
        <v>1590</v>
      </c>
      <c r="H49">
        <f>IF(OR(Table1[[#This Row],[Category]]="Beverages",Table1[[#This Row],[Category]]="Candy"),Table1[[#This Row],[Sales]]*'Dashboard-SugarTax'!$C$17/100,Table1[[#This Row],[Sales]])</f>
        <v>1590</v>
      </c>
      <c r="I49" t="s">
        <v>20</v>
      </c>
      <c r="J49">
        <v>0.64</v>
      </c>
      <c r="K49">
        <f>IF('Dashboard-SAT'!$M$5=1,IF(Table1[[#This Row],[CSAT]]&gt;0.8,Table1[[#This Row],[Sales]],0),IF(Table1[[#This Row],[CSAT]]&lt;=0.8,Table1[[#This Row],[Sales]],0))</f>
        <v>1590</v>
      </c>
      <c r="L49" t="s">
        <v>74</v>
      </c>
      <c r="M49" t="s">
        <v>75</v>
      </c>
      <c r="N49" t="s">
        <v>76</v>
      </c>
      <c r="O49" t="s">
        <v>77</v>
      </c>
      <c r="P49" t="s">
        <v>78</v>
      </c>
      <c r="Q49">
        <v>1590</v>
      </c>
      <c r="R49">
        <v>2</v>
      </c>
    </row>
    <row r="50" spans="1:18" x14ac:dyDescent="0.25">
      <c r="A50">
        <v>79</v>
      </c>
      <c r="B50" s="4">
        <v>42178</v>
      </c>
      <c r="C50" t="s">
        <v>97</v>
      </c>
      <c r="D50" t="s">
        <v>71</v>
      </c>
      <c r="E50" t="s">
        <v>26</v>
      </c>
      <c r="F50" t="s">
        <v>37</v>
      </c>
      <c r="G50">
        <v>900</v>
      </c>
      <c r="H50">
        <f>IF(OR(Table1[[#This Row],[Category]]="Beverages",Table1[[#This Row],[Category]]="Candy"),Table1[[#This Row],[Sales]]*'Dashboard-SugarTax'!$C$17/100,Table1[[#This Row],[Sales]])</f>
        <v>900</v>
      </c>
      <c r="I50" t="s">
        <v>20</v>
      </c>
      <c r="J50">
        <v>0.68</v>
      </c>
      <c r="K50">
        <f>IF('Dashboard-SAT'!$M$5=1,IF(Table1[[#This Row],[CSAT]]&gt;0.8,Table1[[#This Row],[Sales]],0),IF(Table1[[#This Row],[CSAT]]&lt;=0.8,Table1[[#This Row],[Sales]],0))</f>
        <v>900</v>
      </c>
      <c r="L50" t="s">
        <v>74</v>
      </c>
      <c r="M50" t="s">
        <v>75</v>
      </c>
      <c r="N50" t="s">
        <v>76</v>
      </c>
      <c r="O50" t="s">
        <v>77</v>
      </c>
      <c r="P50" t="s">
        <v>78</v>
      </c>
      <c r="Q50">
        <v>900</v>
      </c>
      <c r="R50">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09FEF-C8CB-43D8-A90C-E067225AB779}">
  <sheetPr codeName="Sheet1"/>
  <dimension ref="B2:C17"/>
  <sheetViews>
    <sheetView workbookViewId="0">
      <selection activeCell="D26" sqref="D26"/>
    </sheetView>
  </sheetViews>
  <sheetFormatPr defaultRowHeight="15" x14ac:dyDescent="0.25"/>
  <cols>
    <col min="2" max="2" width="19.7109375" bestFit="1" customWidth="1"/>
    <col min="3" max="3" width="19" bestFit="1" customWidth="1"/>
  </cols>
  <sheetData>
    <row r="2" spans="2:3" x14ac:dyDescent="0.25">
      <c r="B2" s="1" t="s">
        <v>141</v>
      </c>
      <c r="C2" t="s">
        <v>143</v>
      </c>
    </row>
    <row r="3" spans="2:3" x14ac:dyDescent="0.25">
      <c r="B3" s="2" t="s">
        <v>97</v>
      </c>
      <c r="C3" s="3">
        <v>2606.0250000000001</v>
      </c>
    </row>
    <row r="4" spans="2:3" x14ac:dyDescent="0.25">
      <c r="B4" s="2" t="s">
        <v>16</v>
      </c>
      <c r="C4" s="3">
        <v>18606.25</v>
      </c>
    </row>
    <row r="5" spans="2:3" x14ac:dyDescent="0.25">
      <c r="B5" s="2" t="s">
        <v>28</v>
      </c>
      <c r="C5" s="3">
        <v>5661.2749999999996</v>
      </c>
    </row>
    <row r="6" spans="2:3" x14ac:dyDescent="0.25">
      <c r="B6" s="2" t="s">
        <v>70</v>
      </c>
      <c r="C6" s="3">
        <v>680</v>
      </c>
    </row>
    <row r="7" spans="2:3" x14ac:dyDescent="0.25">
      <c r="B7" s="2" t="s">
        <v>38</v>
      </c>
      <c r="C7" s="3">
        <v>6071.18</v>
      </c>
    </row>
    <row r="8" spans="2:3" x14ac:dyDescent="0.25">
      <c r="B8" s="2" t="s">
        <v>45</v>
      </c>
      <c r="C8" s="3">
        <v>5954.1</v>
      </c>
    </row>
    <row r="9" spans="2:3" x14ac:dyDescent="0.25">
      <c r="B9" s="2" t="s">
        <v>85</v>
      </c>
      <c r="C9" s="3">
        <v>6430.68</v>
      </c>
    </row>
    <row r="10" spans="2:3" x14ac:dyDescent="0.25">
      <c r="B10" s="2" t="s">
        <v>98</v>
      </c>
      <c r="C10" s="3">
        <v>3786.5</v>
      </c>
    </row>
    <row r="11" spans="2:3" x14ac:dyDescent="0.25">
      <c r="B11" s="2" t="s">
        <v>142</v>
      </c>
      <c r="C11" s="3">
        <v>49796.01</v>
      </c>
    </row>
    <row r="13" spans="2:3" ht="15.75" thickBot="1" x14ac:dyDescent="0.3"/>
    <row r="14" spans="2:3" x14ac:dyDescent="0.25">
      <c r="B14" s="5"/>
      <c r="C14" s="6"/>
    </row>
    <row r="15" spans="2:3" x14ac:dyDescent="0.25">
      <c r="B15" s="7"/>
      <c r="C15" s="8"/>
    </row>
    <row r="16" spans="2:3" x14ac:dyDescent="0.25">
      <c r="B16" s="7"/>
      <c r="C16" s="8"/>
    </row>
    <row r="17" spans="2:3" ht="15.75" thickBot="1" x14ac:dyDescent="0.3">
      <c r="B17" s="9" t="s">
        <v>144</v>
      </c>
      <c r="C17" s="10">
        <v>91</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Scroll Bar 1">
              <controlPr defaultSize="0" autoPict="0" macro="[0]!Update">
                <anchor moveWithCells="1">
                  <from>
                    <xdr:col>1</xdr:col>
                    <xdr:colOff>38100</xdr:colOff>
                    <xdr:row>13</xdr:row>
                    <xdr:rowOff>57150</xdr:rowOff>
                  </from>
                  <to>
                    <xdr:col>2</xdr:col>
                    <xdr:colOff>1219200</xdr:colOff>
                    <xdr:row>15</xdr:row>
                    <xdr:rowOff>38100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3D990-82C7-4828-95F6-B98855A3660A}">
  <sheetPr codeName="Sheet3"/>
  <dimension ref="A2:M11"/>
  <sheetViews>
    <sheetView workbookViewId="0">
      <selection activeCell="Q18" sqref="Q18"/>
    </sheetView>
  </sheetViews>
  <sheetFormatPr defaultRowHeight="15" x14ac:dyDescent="0.25"/>
  <cols>
    <col min="1" max="1" width="19.7109375" bestFit="1" customWidth="1"/>
    <col min="2" max="2" width="16.7109375" bestFit="1" customWidth="1"/>
  </cols>
  <sheetData>
    <row r="2" spans="1:13" x14ac:dyDescent="0.25">
      <c r="A2" s="1" t="s">
        <v>141</v>
      </c>
      <c r="B2" t="s">
        <v>146</v>
      </c>
    </row>
    <row r="3" spans="1:13" x14ac:dyDescent="0.25">
      <c r="A3" s="2" t="s">
        <v>97</v>
      </c>
      <c r="B3" s="3">
        <v>2490</v>
      </c>
    </row>
    <row r="4" spans="1:13" x14ac:dyDescent="0.25">
      <c r="A4" s="2" t="s">
        <v>16</v>
      </c>
      <c r="B4" s="3">
        <v>14578.5</v>
      </c>
    </row>
    <row r="5" spans="1:13" x14ac:dyDescent="0.25">
      <c r="A5" s="2" t="s">
        <v>28</v>
      </c>
      <c r="B5" s="3">
        <v>4957.5</v>
      </c>
      <c r="M5">
        <v>2</v>
      </c>
    </row>
    <row r="6" spans="1:13" x14ac:dyDescent="0.25">
      <c r="A6" s="2" t="s">
        <v>70</v>
      </c>
      <c r="B6" s="3">
        <v>680</v>
      </c>
    </row>
    <row r="7" spans="1:13" x14ac:dyDescent="0.25">
      <c r="A7" s="2" t="s">
        <v>38</v>
      </c>
      <c r="B7" s="3">
        <v>4530</v>
      </c>
    </row>
    <row r="8" spans="1:13" x14ac:dyDescent="0.25">
      <c r="A8" s="2" t="s">
        <v>45</v>
      </c>
      <c r="B8" s="3">
        <v>1392</v>
      </c>
    </row>
    <row r="9" spans="1:13" x14ac:dyDescent="0.25">
      <c r="A9" s="2" t="s">
        <v>85</v>
      </c>
      <c r="B9" s="3">
        <v>3890</v>
      </c>
    </row>
    <row r="10" spans="1:13" x14ac:dyDescent="0.25">
      <c r="A10" s="2" t="s">
        <v>98</v>
      </c>
      <c r="B10" s="3">
        <v>2046.5</v>
      </c>
    </row>
    <row r="11" spans="1:13" x14ac:dyDescent="0.25">
      <c r="A11" s="2" t="s">
        <v>142</v>
      </c>
      <c r="B11" s="3">
        <v>34564.5</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Group Box 1">
              <controlPr defaultSize="0" autoFill="0" autoPict="0" macro="[0]!Update">
                <anchor moveWithCells="1">
                  <from>
                    <xdr:col>0</xdr:col>
                    <xdr:colOff>38100</xdr:colOff>
                    <xdr:row>13</xdr:row>
                    <xdr:rowOff>171450</xdr:rowOff>
                  </from>
                  <to>
                    <xdr:col>1</xdr:col>
                    <xdr:colOff>9525</xdr:colOff>
                    <xdr:row>18</xdr:row>
                    <xdr:rowOff>0</xdr:rowOff>
                  </to>
                </anchor>
              </controlPr>
            </control>
          </mc:Choice>
        </mc:AlternateContent>
        <mc:AlternateContent xmlns:mc="http://schemas.openxmlformats.org/markup-compatibility/2006">
          <mc:Choice Requires="x14">
            <control shapeId="3074" r:id="rId5" name="Option Button 2">
              <controlPr defaultSize="0" autoFill="0" autoLine="0" autoPict="0" macro="[0]!Update">
                <anchor moveWithCells="1">
                  <from>
                    <xdr:col>0</xdr:col>
                    <xdr:colOff>133350</xdr:colOff>
                    <xdr:row>14</xdr:row>
                    <xdr:rowOff>171450</xdr:rowOff>
                  </from>
                  <to>
                    <xdr:col>0</xdr:col>
                    <xdr:colOff>1152525</xdr:colOff>
                    <xdr:row>16</xdr:row>
                    <xdr:rowOff>0</xdr:rowOff>
                  </to>
                </anchor>
              </controlPr>
            </control>
          </mc:Choice>
        </mc:AlternateContent>
        <mc:AlternateContent xmlns:mc="http://schemas.openxmlformats.org/markup-compatibility/2006">
          <mc:Choice Requires="x14">
            <control shapeId="3075" r:id="rId6" name="Option Button 3">
              <controlPr defaultSize="0" autoFill="0" autoLine="0" autoPict="0" macro="[0]!Update">
                <anchor moveWithCells="1">
                  <from>
                    <xdr:col>0</xdr:col>
                    <xdr:colOff>133350</xdr:colOff>
                    <xdr:row>16</xdr:row>
                    <xdr:rowOff>19050</xdr:rowOff>
                  </from>
                  <to>
                    <xdr:col>0</xdr:col>
                    <xdr:colOff>1152525</xdr:colOff>
                    <xdr:row>17</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B7025-5FCA-465E-BFA4-99E6030477BC}">
  <sheetPr codeName="Sheet4"/>
  <dimension ref="A1"/>
  <sheetViews>
    <sheetView workbookViewId="0">
      <selection activeCell="H30" sqref="H30"/>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MenuToGraph">
                <anchor moveWithCells="1" sizeWithCells="1">
                  <from>
                    <xdr:col>1</xdr:col>
                    <xdr:colOff>0</xdr:colOff>
                    <xdr:row>1</xdr:row>
                    <xdr:rowOff>19050</xdr:rowOff>
                  </from>
                  <to>
                    <xdr:col>2</xdr:col>
                    <xdr:colOff>609600</xdr:colOff>
                    <xdr:row>3</xdr:row>
                    <xdr:rowOff>114300</xdr:rowOff>
                  </to>
                </anchor>
              </controlPr>
            </control>
          </mc:Choice>
        </mc:AlternateContent>
        <mc:AlternateContent xmlns:mc="http://schemas.openxmlformats.org/markup-compatibility/2006">
          <mc:Choice Requires="x14">
            <control shapeId="5122" r:id="rId4" name="Button 2">
              <controlPr defaultSize="0" print="0" autoFill="0" autoPict="0" macro="[0]!ToTable">
                <anchor moveWithCells="1" sizeWithCells="1">
                  <from>
                    <xdr:col>1</xdr:col>
                    <xdr:colOff>28575</xdr:colOff>
                    <xdr:row>5</xdr:row>
                    <xdr:rowOff>9525</xdr:rowOff>
                  </from>
                  <to>
                    <xdr:col>2</xdr:col>
                    <xdr:colOff>590550</xdr:colOff>
                    <xdr:row>7</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9B9A2-8A55-41A8-A285-03702FECF68A}">
  <sheetPr codeName="Sheet5"/>
  <dimension ref="D2:E29"/>
  <sheetViews>
    <sheetView tabSelected="1" workbookViewId="0">
      <selection activeCell="L21" sqref="L21"/>
    </sheetView>
  </sheetViews>
  <sheetFormatPr defaultRowHeight="15" x14ac:dyDescent="0.25"/>
  <cols>
    <col min="3" max="4" width="19.7109375" bestFit="1" customWidth="1"/>
    <col min="5" max="5" width="12.140625" bestFit="1" customWidth="1"/>
  </cols>
  <sheetData>
    <row r="2" spans="4:5" x14ac:dyDescent="0.25">
      <c r="D2" s="1" t="s">
        <v>141</v>
      </c>
      <c r="E2" t="s">
        <v>147</v>
      </c>
    </row>
    <row r="3" spans="4:5" x14ac:dyDescent="0.25">
      <c r="D3" s="2" t="s">
        <v>97</v>
      </c>
      <c r="E3" s="3">
        <v>2617.5</v>
      </c>
    </row>
    <row r="4" spans="4:5" x14ac:dyDescent="0.25">
      <c r="D4" s="2" t="s">
        <v>16</v>
      </c>
      <c r="E4" s="3">
        <v>19974.25</v>
      </c>
    </row>
    <row r="5" spans="4:5" x14ac:dyDescent="0.25">
      <c r="D5" s="2" t="s">
        <v>28</v>
      </c>
      <c r="E5" s="3">
        <v>5787.5</v>
      </c>
    </row>
    <row r="6" spans="4:5" x14ac:dyDescent="0.25">
      <c r="D6" s="2" t="s">
        <v>70</v>
      </c>
      <c r="E6" s="3">
        <v>680</v>
      </c>
    </row>
    <row r="7" spans="4:5" x14ac:dyDescent="0.25">
      <c r="D7" s="2" t="s">
        <v>38</v>
      </c>
      <c r="E7" s="3">
        <v>6278</v>
      </c>
    </row>
    <row r="8" spans="4:5" x14ac:dyDescent="0.25">
      <c r="D8" s="2" t="s">
        <v>45</v>
      </c>
      <c r="E8" s="3">
        <v>6378</v>
      </c>
    </row>
    <row r="9" spans="4:5" x14ac:dyDescent="0.25">
      <c r="D9" s="2" t="s">
        <v>85</v>
      </c>
      <c r="E9" s="3">
        <v>6561</v>
      </c>
    </row>
    <row r="10" spans="4:5" x14ac:dyDescent="0.25">
      <c r="D10" s="2" t="s">
        <v>98</v>
      </c>
      <c r="E10" s="3">
        <v>3786.5</v>
      </c>
    </row>
    <row r="11" spans="4:5" x14ac:dyDescent="0.25">
      <c r="D11" s="2" t="s">
        <v>142</v>
      </c>
      <c r="E11" s="3">
        <v>52062.75</v>
      </c>
    </row>
    <row r="14" spans="4:5" x14ac:dyDescent="0.25">
      <c r="D14" s="1" t="s">
        <v>141</v>
      </c>
      <c r="E14" t="s">
        <v>147</v>
      </c>
    </row>
    <row r="15" spans="4:5" x14ac:dyDescent="0.25">
      <c r="D15" s="2" t="s">
        <v>47</v>
      </c>
      <c r="E15" s="3">
        <v>982</v>
      </c>
    </row>
    <row r="16" spans="4:5" x14ac:dyDescent="0.25">
      <c r="D16" s="2" t="s">
        <v>18</v>
      </c>
      <c r="E16" s="3">
        <v>22636</v>
      </c>
    </row>
    <row r="17" spans="4:5" x14ac:dyDescent="0.25">
      <c r="D17" s="2" t="s">
        <v>55</v>
      </c>
      <c r="E17" s="3">
        <v>2550</v>
      </c>
    </row>
    <row r="18" spans="4:5" x14ac:dyDescent="0.25">
      <c r="D18" s="2" t="s">
        <v>138</v>
      </c>
      <c r="E18" s="3">
        <v>1560</v>
      </c>
    </row>
    <row r="19" spans="4:5" x14ac:dyDescent="0.25">
      <c r="D19" s="2" t="s">
        <v>114</v>
      </c>
      <c r="E19" s="3">
        <v>2208</v>
      </c>
    </row>
    <row r="20" spans="4:5" x14ac:dyDescent="0.25">
      <c r="D20" s="2" t="s">
        <v>93</v>
      </c>
      <c r="E20" s="3">
        <v>1380</v>
      </c>
    </row>
    <row r="21" spans="4:5" x14ac:dyDescent="0.25">
      <c r="D21" s="2" t="s">
        <v>100</v>
      </c>
      <c r="E21" s="3">
        <v>3132</v>
      </c>
    </row>
    <row r="22" spans="4:5" x14ac:dyDescent="0.25">
      <c r="D22" s="2" t="s">
        <v>26</v>
      </c>
      <c r="E22" s="3">
        <v>3712.5</v>
      </c>
    </row>
    <row r="23" spans="4:5" x14ac:dyDescent="0.25">
      <c r="D23" s="2" t="s">
        <v>123</v>
      </c>
      <c r="E23" s="3">
        <v>280</v>
      </c>
    </row>
    <row r="24" spans="4:5" x14ac:dyDescent="0.25">
      <c r="D24" s="2" t="s">
        <v>95</v>
      </c>
      <c r="E24" s="3">
        <v>5740</v>
      </c>
    </row>
    <row r="25" spans="4:5" x14ac:dyDescent="0.25">
      <c r="D25" s="2" t="s">
        <v>121</v>
      </c>
      <c r="E25" s="3">
        <v>533.75</v>
      </c>
    </row>
    <row r="26" spans="4:5" x14ac:dyDescent="0.25">
      <c r="D26" s="2" t="s">
        <v>107</v>
      </c>
      <c r="E26" s="3">
        <v>1950</v>
      </c>
    </row>
    <row r="27" spans="4:5" x14ac:dyDescent="0.25">
      <c r="D27" s="2" t="s">
        <v>72</v>
      </c>
      <c r="E27" s="3">
        <v>2600</v>
      </c>
    </row>
    <row r="28" spans="4:5" x14ac:dyDescent="0.25">
      <c r="D28" s="2" t="s">
        <v>62</v>
      </c>
      <c r="E28" s="3">
        <v>2798.5</v>
      </c>
    </row>
    <row r="29" spans="4:5" x14ac:dyDescent="0.25">
      <c r="D29" s="2" t="s">
        <v>142</v>
      </c>
      <c r="E29" s="3">
        <v>52062.75</v>
      </c>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ToMenu">
                <anchor moveWithCells="1" sizeWithCells="1">
                  <from>
                    <xdr:col>1</xdr:col>
                    <xdr:colOff>0</xdr:colOff>
                    <xdr:row>1</xdr:row>
                    <xdr:rowOff>9525</xdr:rowOff>
                  </from>
                  <to>
                    <xdr:col>2</xdr:col>
                    <xdr:colOff>600075</xdr:colOff>
                    <xdr:row>3</xdr:row>
                    <xdr:rowOff>0</xdr:rowOff>
                  </to>
                </anchor>
              </controlPr>
            </control>
          </mc:Choice>
        </mc:AlternateContent>
        <mc:AlternateContent xmlns:mc="http://schemas.openxmlformats.org/markup-compatibility/2006">
          <mc:Choice Requires="x14">
            <control shapeId="6146" r:id="rId6" name="BtnShowSalesPerson">
              <controlPr defaultSize="0" print="0" autoFill="0" autoPict="0" macro="[0]!ShowChartSalesPerson">
                <anchor moveWithCells="1" sizeWithCells="1">
                  <from>
                    <xdr:col>7</xdr:col>
                    <xdr:colOff>9525</xdr:colOff>
                    <xdr:row>18</xdr:row>
                    <xdr:rowOff>171450</xdr:rowOff>
                  </from>
                  <to>
                    <xdr:col>9</xdr:col>
                    <xdr:colOff>0</xdr:colOff>
                    <xdr:row>20</xdr:row>
                    <xdr:rowOff>152400</xdr:rowOff>
                  </to>
                </anchor>
              </controlPr>
            </control>
          </mc:Choice>
        </mc:AlternateContent>
        <mc:AlternateContent xmlns:mc="http://schemas.openxmlformats.org/markup-compatibility/2006">
          <mc:Choice Requires="x14">
            <control shapeId="6147" r:id="rId7" name="BtnHideSalesPerson">
              <controlPr defaultSize="0" print="0" autoFill="0" autoPict="0" macro="[0]!HideChartSalesPerson">
                <anchor moveWithCells="1" sizeWithCells="1">
                  <from>
                    <xdr:col>7</xdr:col>
                    <xdr:colOff>19050</xdr:colOff>
                    <xdr:row>18</xdr:row>
                    <xdr:rowOff>180975</xdr:rowOff>
                  </from>
                  <to>
                    <xdr:col>9</xdr:col>
                    <xdr:colOff>0</xdr:colOff>
                    <xdr:row>20</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67EF5-2B08-4ADE-8F91-213154F3A6EC}">
  <sheetPr codeName="Sheet6"/>
  <dimension ref="A1"/>
  <sheetViews>
    <sheetView workbookViewId="0">
      <selection activeCell="C9" sqref="C9"/>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ableToMenu">
                <anchor moveWithCells="1" sizeWithCells="1">
                  <from>
                    <xdr:col>1</xdr:col>
                    <xdr:colOff>9525</xdr:colOff>
                    <xdr:row>1</xdr:row>
                    <xdr:rowOff>19050</xdr:rowOff>
                  </from>
                  <to>
                    <xdr:col>2</xdr:col>
                    <xdr:colOff>600075</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Dashboard-SugarTax</vt:lpstr>
      <vt:lpstr>Dashboard-SAT</vt:lpstr>
      <vt:lpstr>Menu</vt:lpstr>
      <vt:lpstr>Graphs</vt:lpstr>
      <vt:lpstr>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Playertek</dc:creator>
  <cp:lastModifiedBy>bosun akinade</cp:lastModifiedBy>
  <dcterms:created xsi:type="dcterms:W3CDTF">2020-01-29T00:30:56Z</dcterms:created>
  <dcterms:modified xsi:type="dcterms:W3CDTF">2022-02-16T09:13:36Z</dcterms:modified>
</cp:coreProperties>
</file>